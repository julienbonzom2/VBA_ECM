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JBONZOM\Downloads\"/>
    </mc:Choice>
  </mc:AlternateContent>
  <bookViews>
    <workbookView xWindow="0" yWindow="0" windowWidth="28800" windowHeight="13590" firstSheet="2" activeTab="2"/>
  </bookViews>
  <sheets>
    <sheet name="Version" sheetId="18" r:id="rId1"/>
    <sheet name="Input" sheetId="99" r:id="rId2"/>
    <sheet name="Entrée" sheetId="1" r:id="rId3"/>
    <sheet name="Mise_en_page" sheetId="21" r:id="rId4"/>
    <sheet name="Mise_en_page_(km)" sheetId="34" r:id="rId5"/>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5" i="99" l="1"/>
  <c r="B2" i="1" l="1"/>
  <c r="I1" i="1" l="1"/>
  <c r="D6" i="1" l="1"/>
  <c r="D5" i="1" s="1"/>
  <c r="A8" i="99" l="1"/>
  <c r="C3" i="1"/>
  <c r="C4" i="1"/>
  <c r="I6" i="1" l="1"/>
  <c r="G6" i="1" l="1"/>
  <c r="G5" i="1" s="1"/>
  <c r="E6" i="1"/>
  <c r="E5" i="1" s="1"/>
  <c r="K6" i="1"/>
  <c r="K5" i="1" s="1"/>
  <c r="J6" i="1"/>
  <c r="J5" i="1" s="1"/>
  <c r="I5" i="1"/>
  <c r="C6" i="1"/>
  <c r="C5" i="1" s="1"/>
  <c r="H6" i="1"/>
  <c r="H5" i="1" s="1"/>
  <c r="B6" i="1"/>
  <c r="B5" i="1" s="1"/>
  <c r="F6" i="1"/>
  <c r="L6" i="1"/>
  <c r="L5" i="1" s="1"/>
</calcChain>
</file>

<file path=xl/sharedStrings.xml><?xml version="1.0" encoding="utf-8"?>
<sst xmlns="http://schemas.openxmlformats.org/spreadsheetml/2006/main" count="1050" uniqueCount="188">
  <si>
    <t>Julien BONZOM</t>
  </si>
  <si>
    <t>Mérignac</t>
  </si>
  <si>
    <t>Choix_id_km</t>
  </si>
  <si>
    <t>OUI</t>
  </si>
  <si>
    <t>NON</t>
  </si>
  <si>
    <t>ORDRE DE MISSION</t>
  </si>
  <si>
    <t>Vous devez effectuer votre pointage sur l’outil ECM interne SX chaque semaine avant jeudi soir.</t>
  </si>
  <si>
    <t>Vous devez également prendre connaissance, dès sa publication, de la Note de Direction 2021 concernant les RTT, les fermetures Client, les congés d’été, les congés de noël, les congés payés et jours fériés ainsi que le rappel de procédure des demandes d’absence.</t>
  </si>
  <si>
    <t>Spécifications particulières applicables sur site Client :</t>
  </si>
  <si>
    <r>
      <t>Sur place, vous devrez vous conformer aux plages horaires de travail en vigueur dans l’établissement ainsi qu’aux règles d’hygiènes et de sécurité</t>
    </r>
    <r>
      <rPr>
        <sz val="11"/>
        <color rgb="FF4F81BD"/>
        <rFont val="Calibri"/>
        <family val="2"/>
      </rPr>
      <t xml:space="preserve">, </t>
    </r>
    <r>
      <rPr>
        <sz val="11"/>
        <color theme="1"/>
        <rFont val="Calibri"/>
        <family val="2"/>
      </rPr>
      <t>et de respect de l’environnement.</t>
    </r>
  </si>
  <si>
    <t>Avez-vous pris connaissance du Plan de Prévention associé à cette prestation ?</t>
  </si>
  <si>
    <r>
      <t xml:space="preserve"> </t>
    </r>
    <r>
      <rPr>
        <sz val="11"/>
        <color theme="1"/>
        <rFont val="Wingdings"/>
        <charset val="2"/>
      </rPr>
      <t>o</t>
    </r>
    <r>
      <rPr>
        <sz val="11"/>
        <color theme="1"/>
        <rFont val="Calibri"/>
        <family val="2"/>
        <scheme val="minor"/>
      </rPr>
      <t xml:space="preserve"> Oui    </t>
    </r>
    <r>
      <rPr>
        <sz val="11"/>
        <color theme="1"/>
        <rFont val="Wingdings"/>
        <charset val="2"/>
      </rPr>
      <t xml:space="preserve"> o</t>
    </r>
    <r>
      <rPr>
        <sz val="11"/>
        <color theme="1"/>
        <rFont val="Calibri"/>
        <family val="2"/>
        <scheme val="minor"/>
      </rPr>
      <t xml:space="preserve"> Non applicable</t>
    </r>
  </si>
  <si>
    <t>Nous vous prions d'agréer, Monsieur, nos salutations distinguées.</t>
  </si>
  <si>
    <t>ECM</t>
  </si>
  <si>
    <t>Salarié_</t>
  </si>
  <si>
    <t>Num_Affaire_</t>
  </si>
  <si>
    <t>Client_</t>
  </si>
  <si>
    <t>Indemnité_km_</t>
  </si>
  <si>
    <t>Kilometrage_</t>
  </si>
  <si>
    <t>Fonction_</t>
  </si>
  <si>
    <t>Debut_mission_</t>
  </si>
  <si>
    <t>Responsable_</t>
  </si>
  <si>
    <t>Directeur_Commercial_</t>
  </si>
  <si>
    <t>Affaire: Num_Affaire_</t>
  </si>
  <si>
    <r>
      <t xml:space="preserve">Début des travaux : le </t>
    </r>
    <r>
      <rPr>
        <b/>
        <sz val="11"/>
        <color theme="1"/>
        <rFont val="Calibri"/>
        <family val="2"/>
        <scheme val="minor"/>
      </rPr>
      <t>Debut_mission_</t>
    </r>
    <r>
      <rPr>
        <sz val="11"/>
        <color theme="1"/>
        <rFont val="Calibri"/>
        <family val="2"/>
        <scheme val="minor"/>
      </rPr>
      <t>.</t>
    </r>
  </si>
  <si>
    <t>DEBUT</t>
  </si>
  <si>
    <t>CHAINE</t>
  </si>
  <si>
    <t>Attaché_</t>
  </si>
  <si>
    <r>
      <t xml:space="preserve">Durant cette période, vous resterez expressément sous la responsabilité hiérarchique et technique de l’encadrement ECM, en la personne de </t>
    </r>
    <r>
      <rPr>
        <b/>
        <sz val="11"/>
        <color theme="1"/>
        <rFont val="Calibri"/>
        <family val="2"/>
        <scheme val="minor"/>
      </rPr>
      <t>Responsable_</t>
    </r>
    <r>
      <rPr>
        <sz val="11"/>
        <color theme="1"/>
        <rFont val="Calibri"/>
        <family val="2"/>
        <scheme val="minor"/>
      </rPr>
      <t xml:space="preserve"> et votre responsable d’activité pour cette mission sera </t>
    </r>
    <r>
      <rPr>
        <b/>
        <sz val="11"/>
        <color theme="1"/>
        <rFont val="Calibri"/>
        <family val="2"/>
        <scheme val="minor"/>
      </rPr>
      <t>Attaché_</t>
    </r>
    <r>
      <rPr>
        <sz val="11"/>
        <color theme="1"/>
        <rFont val="Calibri"/>
        <family val="2"/>
        <scheme val="minor"/>
      </rPr>
      <t>.</t>
    </r>
  </si>
  <si>
    <r>
      <t xml:space="preserve">Fait à </t>
    </r>
    <r>
      <rPr>
        <b/>
        <sz val="11"/>
        <color theme="1"/>
        <rFont val="Calibri"/>
        <family val="2"/>
        <scheme val="minor"/>
      </rPr>
      <t>Signature_</t>
    </r>
    <r>
      <rPr>
        <sz val="11"/>
        <color theme="1"/>
        <rFont val="Calibri"/>
        <family val="2"/>
        <scheme val="minor"/>
      </rPr>
      <t>, en deux exemplaires</t>
    </r>
  </si>
  <si>
    <r>
      <t xml:space="preserve">Veuillez noter de vous rendre chez notre </t>
    </r>
    <r>
      <rPr>
        <b/>
        <sz val="11"/>
        <color theme="1"/>
        <rFont val="Calibri"/>
        <family val="2"/>
        <scheme val="minor"/>
      </rPr>
      <t>Client_</t>
    </r>
    <r>
      <rPr>
        <sz val="11"/>
        <color theme="1"/>
        <rFont val="Calibri"/>
        <family val="2"/>
        <scheme val="minor"/>
      </rPr>
      <t xml:space="preserve">, sur le site de </t>
    </r>
    <r>
      <rPr>
        <b/>
        <sz val="11"/>
        <color theme="1"/>
        <rFont val="Calibri"/>
        <family val="2"/>
        <scheme val="minor"/>
      </rPr>
      <t>Lieux_</t>
    </r>
    <r>
      <rPr>
        <sz val="11"/>
        <color theme="1"/>
        <rFont val="Calibri"/>
        <family val="2"/>
        <scheme val="minor"/>
      </rPr>
      <t xml:space="preserve">, pour une intervention, afin d’y effectuer des travaux </t>
    </r>
    <r>
      <rPr>
        <b/>
        <sz val="11"/>
        <color theme="1"/>
        <rFont val="Calibri"/>
        <family val="2"/>
        <scheme val="minor"/>
      </rPr>
      <t>Fonction_</t>
    </r>
    <r>
      <rPr>
        <sz val="11"/>
        <color theme="1"/>
        <rFont val="Calibri"/>
        <family val="2"/>
        <scheme val="minor"/>
      </rPr>
      <t>.</t>
    </r>
  </si>
  <si>
    <t>Lieux_</t>
  </si>
  <si>
    <t>Documents à fournir et à joindre à l’ordre de mission par le collaborateur :</t>
  </si>
  <si>
    <r>
      <t xml:space="preserve">þ </t>
    </r>
    <r>
      <rPr>
        <sz val="10"/>
        <color theme="1"/>
        <rFont val="Calibri"/>
        <family val="2"/>
      </rPr>
      <t xml:space="preserve">Indemnités kilométriques : </t>
    </r>
    <r>
      <rPr>
        <b/>
        <sz val="10"/>
        <color rgb="FFFF0000"/>
        <rFont val="Calibri"/>
        <family val="2"/>
      </rPr>
      <t>attestation assurance</t>
    </r>
    <r>
      <rPr>
        <sz val="10"/>
        <color theme="1"/>
        <rFont val="Calibri"/>
        <family val="2"/>
      </rPr>
      <t xml:space="preserve"> </t>
    </r>
    <r>
      <rPr>
        <b/>
        <u/>
        <sz val="10"/>
        <color rgb="FFFF0000"/>
        <rFont val="Calibri"/>
        <family val="2"/>
      </rPr>
      <t>à jour</t>
    </r>
  </si>
  <si>
    <r>
      <t xml:space="preserve">Vous bénéficiez de frais de déplacement dans le cadre de cette mission de l’ordre de </t>
    </r>
    <r>
      <rPr>
        <b/>
        <sz val="11"/>
        <color theme="1"/>
        <rFont val="Calibri"/>
        <family val="2"/>
      </rPr>
      <t>n,nn_</t>
    </r>
    <r>
      <rPr>
        <sz val="11"/>
        <color theme="1"/>
        <rFont val="Calibri"/>
        <family val="2"/>
      </rPr>
      <t xml:space="preserve"> euros par jour travaillé (soit 0.35€ du kilomètre).</t>
    </r>
  </si>
  <si>
    <t>Si vous êtes amenés à vous déplacer sur un autre site dans le cadre de votre mission, il est impératif de compléter le document de déplacement ponctuel (Doc-24) et l’envoyer à votre Responsable d’Activité pour validation.</t>
  </si>
  <si>
    <t>Salarié_                                                                            Directeur_commercial_
"Salarié"                                                                         "Directeur_Commercial"</t>
  </si>
  <si>
    <t>Version_0.00</t>
  </si>
  <si>
    <t>Version</t>
  </si>
  <si>
    <t>Auteur</t>
  </si>
  <si>
    <t>Date</t>
  </si>
  <si>
    <t>Modif</t>
  </si>
  <si>
    <t>---</t>
  </si>
  <si>
    <t>Client</t>
  </si>
  <si>
    <t>Lieux</t>
  </si>
  <si>
    <t>Indemnité_km</t>
  </si>
  <si>
    <t>Kilometrage</t>
  </si>
  <si>
    <t>Fonction</t>
  </si>
  <si>
    <t>Debut_mission</t>
  </si>
  <si>
    <t>Responsable</t>
  </si>
  <si>
    <t>Attaché</t>
  </si>
  <si>
    <t>Directeur_Commercial</t>
  </si>
  <si>
    <t>INPUT</t>
  </si>
  <si>
    <t>ligne</t>
  </si>
  <si>
    <t>Prenom NOM</t>
  </si>
  <si>
    <t>Numero d'affaire</t>
  </si>
  <si>
    <t>MODIFIER CE CHAMP: 
NON si l'ODM n'est pas à traiter</t>
  </si>
  <si>
    <t>Lieu de rédact°</t>
  </si>
  <si>
    <t>DASSAULT</t>
  </si>
  <si>
    <t>PARIS</t>
  </si>
  <si>
    <t>Ingénierie Calcul</t>
  </si>
  <si>
    <t>Marise GARABET</t>
  </si>
  <si>
    <t>karim CASTET</t>
  </si>
  <si>
    <t xml:space="preserve">Inserez les données avec la feuille "Input" ou directement dans la feuille "Entrée"
Lancer les macros qui generent les ODM sous forme de feuille "Excel", puis generer les PDF qui seront dans le repertoire ou est placé le fichier. Possibilité d'effacer les feuilles et les fichiers pdf. Possibilité d'effacer la table de données de cette feuille.
 </t>
  </si>
  <si>
    <t>Michel PETRUCIANI</t>
  </si>
  <si>
    <t>Cellules modifiables</t>
  </si>
  <si>
    <t>JEAN-SEBASTIEN CHRETIEN</t>
  </si>
  <si>
    <t>REMY CLUZEL</t>
  </si>
  <si>
    <t>JEROME GOUJAT</t>
  </si>
  <si>
    <t>GUILLAUME HAUTY</t>
  </si>
  <si>
    <t>MAEL LACROIX</t>
  </si>
  <si>
    <t>GAEL NOBILI</t>
  </si>
  <si>
    <t>FABRICE GAZEAU</t>
  </si>
  <si>
    <t>YOHAN MARY</t>
  </si>
  <si>
    <t>GUILLAUME GESLAIN</t>
  </si>
  <si>
    <t>THELMA BASSO</t>
  </si>
  <si>
    <t>FABIEN HERAUD</t>
  </si>
  <si>
    <t>NICOLAS GAVEL</t>
  </si>
  <si>
    <t>THOMAS MALAISE</t>
  </si>
  <si>
    <t>THOMAS LAFONTAINE</t>
  </si>
  <si>
    <t>JULIEN BENAZECH</t>
  </si>
  <si>
    <t>THIBAUD CHEVENIER</t>
  </si>
  <si>
    <t>ANTOINE DE MONTS</t>
  </si>
  <si>
    <t>REMI GERARD</t>
  </si>
  <si>
    <t>MARINA HIRIART</t>
  </si>
  <si>
    <t>SAMIR KHAMIM</t>
  </si>
  <si>
    <t>ALEXANDRE MAINGAULT</t>
  </si>
  <si>
    <t>THOMAS PUECH</t>
  </si>
  <si>
    <t>XAVIER TEILETCHE</t>
  </si>
  <si>
    <t>LOUIS RUFFIER</t>
  </si>
  <si>
    <t>LAURELINE MIGNOT</t>
  </si>
  <si>
    <t>ARMAND DAROLLES</t>
  </si>
  <si>
    <t>ALEXANDRE ANDRE</t>
  </si>
  <si>
    <t>JEROME BAGES</t>
  </si>
  <si>
    <t>CEDRIC BARBIN</t>
  </si>
  <si>
    <t>ALEXANDRE BESCOND</t>
  </si>
  <si>
    <t>CHARLY BOURLON</t>
  </si>
  <si>
    <t>THIBAUT DELCHER</t>
  </si>
  <si>
    <t>CLEMENT FILLEAU</t>
  </si>
  <si>
    <t>THEO FLEURY</t>
  </si>
  <si>
    <t>NIKKY GUILLOTEAU</t>
  </si>
  <si>
    <t>THEO MOULIA</t>
  </si>
  <si>
    <t>LAURENT PAILLAUGUE</t>
  </si>
  <si>
    <t>HUGO ROUDIER</t>
  </si>
  <si>
    <t>JULIEN TASTET</t>
  </si>
  <si>
    <t>ALEXANDRE TEISSERENC</t>
  </si>
  <si>
    <t>CLEMENT BERNARD</t>
  </si>
  <si>
    <t>EMILIE JUSTAUT</t>
  </si>
  <si>
    <t>JOEL MOREIRA</t>
  </si>
  <si>
    <t>DAMIEN SARGENTON</t>
  </si>
  <si>
    <t>PIERRE MADRANGE</t>
  </si>
  <si>
    <t>ROMAIN ALBERT</t>
  </si>
  <si>
    <t>AMELIE LESPINASSE</t>
  </si>
  <si>
    <t>RENAUD TORREGARAY</t>
  </si>
  <si>
    <t>TANGUY DUMARTIN</t>
  </si>
  <si>
    <t>OLIVIER DELRIEU</t>
  </si>
  <si>
    <t>CYRILLE ISSERT</t>
  </si>
  <si>
    <t>MATTHIEU BEAU</t>
  </si>
  <si>
    <t>DAVID CHAMBAUT</t>
  </si>
  <si>
    <t>NATHANAEL BADOC</t>
  </si>
  <si>
    <t>LEO PERRUCHOT</t>
  </si>
  <si>
    <t>PHILIPPE STREBY</t>
  </si>
  <si>
    <t>CORENTIN FRANCOIS</t>
  </si>
  <si>
    <t>SYLVAIN OUVRIEUX</t>
  </si>
  <si>
    <t>KAWTAR AIT YABOUH</t>
  </si>
  <si>
    <t>MATHIEU LEQUINT</t>
  </si>
  <si>
    <t>KEVIN FONTAINE</t>
  </si>
  <si>
    <t>KARINE DELFAUT</t>
  </si>
  <si>
    <t>PAUL DA CUNHA</t>
  </si>
  <si>
    <t>GARETH MORGAN</t>
  </si>
  <si>
    <t>MAXIME RENON</t>
  </si>
  <si>
    <t>EMMANUEL PERRUCHE</t>
  </si>
  <si>
    <t>BERNARD ADOU</t>
  </si>
  <si>
    <t>LAURENT SOLHONNE</t>
  </si>
  <si>
    <t>GUILLAUME REUMOND</t>
  </si>
  <si>
    <t>CLEMENT MEYNARD</t>
  </si>
  <si>
    <t>AURELIEN DUVIGNERE</t>
  </si>
  <si>
    <t>GUILLAUME SIMONCINI</t>
  </si>
  <si>
    <t>DOMINIQUE CARTET</t>
  </si>
  <si>
    <t>LAURENT VAUD</t>
  </si>
  <si>
    <t>CHRISTOPHE CATO</t>
  </si>
  <si>
    <t>MICHAEL CHAMBRAS</t>
  </si>
  <si>
    <t>ANTOINE FEIX</t>
  </si>
  <si>
    <t>CLEMENT GIOT</t>
  </si>
  <si>
    <t>ROMAIN GIRAUD</t>
  </si>
  <si>
    <t>OLIVIER PICARD</t>
  </si>
  <si>
    <t>ROMUALD PONSOT</t>
  </si>
  <si>
    <t>VINCENT LEFEL</t>
  </si>
  <si>
    <t>ANTOINE RIFFORT</t>
  </si>
  <si>
    <t>LUIS CARNEIRO</t>
  </si>
  <si>
    <t>BENJAMIN MEILLEURAT</t>
  </si>
  <si>
    <t>CLEMENT LALY</t>
  </si>
  <si>
    <t>ALLAN PELLEGRINO</t>
  </si>
  <si>
    <t>THIERRY LABORDE</t>
  </si>
  <si>
    <t>BENJAMIN MEDRINAL</t>
  </si>
  <si>
    <t>BAPTISTE CALLEDE</t>
  </si>
  <si>
    <t>ERIC GENTIEUX</t>
  </si>
  <si>
    <t>PATRICE FORT</t>
  </si>
  <si>
    <t>PIERRE USSEGLIO VIRETTA</t>
  </si>
  <si>
    <t>THOMAS HAQUEBERGE</t>
  </si>
  <si>
    <t>RAPHAEL RAVENEL</t>
  </si>
  <si>
    <t>JULIE VAUTIER</t>
  </si>
  <si>
    <t>DYLAN RIVES</t>
  </si>
  <si>
    <t>JONAS MORVILLE</t>
  </si>
  <si>
    <t>BENEDICTE GRIGY</t>
  </si>
  <si>
    <t>DAVID TAUZIA</t>
  </si>
  <si>
    <t>JULIEN BONZOM</t>
  </si>
  <si>
    <t>JEAN-CHRISTOPHE ACCARD</t>
  </si>
  <si>
    <t>DASSAULT AVIATION</t>
  </si>
  <si>
    <t>Industrialisation</t>
  </si>
  <si>
    <t>Calcul de structures aéronautiques</t>
  </si>
  <si>
    <t>Anthony MONTOURCY</t>
  </si>
  <si>
    <t>Florian LAUNAY</t>
  </si>
  <si>
    <t>Aurélien DARRIEUMERLOU</t>
  </si>
  <si>
    <t>Arnaud LECOMTE</t>
  </si>
  <si>
    <r>
      <t xml:space="preserve">le </t>
    </r>
    <r>
      <rPr>
        <b/>
        <sz val="11"/>
        <color theme="1"/>
        <rFont val="Calibri"/>
        <family val="2"/>
        <scheme val="minor"/>
      </rPr>
      <t>Aujourd'hui</t>
    </r>
    <r>
      <rPr>
        <sz val="11"/>
        <color theme="1"/>
        <rFont val="Calibri"/>
        <family val="2"/>
        <scheme val="minor"/>
      </rPr>
      <t>.</t>
    </r>
  </si>
  <si>
    <t>Position " " dans PRENOM NOM</t>
  </si>
  <si>
    <t>Jean LASSALE</t>
  </si>
  <si>
    <t>Version_0.01</t>
  </si>
  <si>
    <t>POO</t>
  </si>
  <si>
    <t>Modif des macros selon la Programation Orienté Objet.
Des données fixes comme l'indemnité par km parcouru ou des chaines de caractères des documents générés (voir Sub final_km2POO() et Sub find_replace) doivent etre rentrées en dur dans les macros VBA.</t>
  </si>
  <si>
    <t xml:space="preserve">Jour </t>
  </si>
  <si>
    <t>Mois</t>
  </si>
  <si>
    <t>Année</t>
  </si>
  <si>
    <t>Zinedine ZIDANE</t>
  </si>
  <si>
    <t>Jean DUJARDIN</t>
  </si>
  <si>
    <t>Othmane MOULKI</t>
  </si>
  <si>
    <t>Eddy PILORGER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</si>
</sst>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 #,##0.00_-;_-* &quot;-&quot;??_-;_-@_-"/>
    <numFmt numFmtId="164" formatCode="_-* #,##0_-;\-* #,##0_-;_-* &quot;-&quot;??_-;_-@_-"/>
  </numFmts>
  <fonts count="16" x14ac:knownFonts="1">
    <font>
      <sz val="11"/>
      <color theme="1"/>
      <name val="Calibri"/>
      <family val="2"/>
      <scheme val="minor"/>
    </font>
    <font>
      <b/>
      <sz val="11"/>
      <color theme="1"/>
      <name val="Calibri"/>
      <family val="2"/>
      <scheme val="minor"/>
    </font>
    <font>
      <u/>
      <sz val="11"/>
      <color theme="1"/>
      <name val="Calibri"/>
      <family val="2"/>
      <scheme val="minor"/>
    </font>
    <font>
      <sz val="11"/>
      <color theme="1"/>
      <name val="Calibri"/>
      <family val="2"/>
    </font>
    <font>
      <sz val="11"/>
      <color rgb="FF4F81BD"/>
      <name val="Calibri"/>
      <family val="2"/>
    </font>
    <font>
      <sz val="11"/>
      <color theme="1"/>
      <name val="Wingdings"/>
      <charset val="2"/>
    </font>
    <font>
      <sz val="10"/>
      <color theme="1"/>
      <name val="Calibri"/>
      <family val="2"/>
    </font>
    <font>
      <b/>
      <sz val="10"/>
      <color theme="1"/>
      <name val="Calibri"/>
      <family val="2"/>
    </font>
    <font>
      <b/>
      <sz val="11"/>
      <color theme="1"/>
      <name val="Calibri"/>
      <family val="2"/>
    </font>
    <font>
      <sz val="10"/>
      <color theme="1"/>
      <name val="Wingdings"/>
      <charset val="2"/>
    </font>
    <font>
      <b/>
      <sz val="10"/>
      <color rgb="FFFF0000"/>
      <name val="Calibri"/>
      <family val="2"/>
    </font>
    <font>
      <b/>
      <u/>
      <sz val="10"/>
      <color rgb="FFFF0000"/>
      <name val="Calibri"/>
      <family val="2"/>
    </font>
    <font>
      <sz val="11"/>
      <name val="Calibri"/>
      <family val="2"/>
      <scheme val="minor"/>
    </font>
    <font>
      <sz val="11"/>
      <color rgb="FFFF0000"/>
      <name val="Calibri"/>
      <family val="2"/>
      <scheme val="minor"/>
    </font>
    <font>
      <b/>
      <sz val="11"/>
      <color rgb="FFFF0000"/>
      <name val="Calibri"/>
      <family val="2"/>
      <scheme val="minor"/>
    </font>
    <font>
      <sz val="11"/>
      <color theme="1"/>
      <name val="Calibri"/>
      <family val="2"/>
      <scheme val="minor"/>
    </font>
  </fonts>
  <fills count="5">
    <fill>
      <patternFill patternType="none"/>
    </fill>
    <fill>
      <patternFill patternType="gray125"/>
    </fill>
    <fill>
      <patternFill patternType="solid">
        <fgColor rgb="FFFFFF00"/>
        <bgColor indexed="64"/>
      </patternFill>
    </fill>
    <fill>
      <patternFill patternType="solid">
        <fgColor indexed="13"/>
        <bgColor indexed="64"/>
      </patternFill>
    </fill>
    <fill>
      <patternFill patternType="solid">
        <fgColor indexed="8"/>
        <bgColor indexed="64"/>
      </patternFill>
    </fill>
  </fills>
  <borders count="13">
    <border>
      <left/>
      <right/>
      <top/>
      <bottom/>
      <diagonal/>
    </border>
    <border>
      <left style="thin">
        <color auto="1"/>
      </left>
      <right style="thin">
        <color auto="1"/>
      </right>
      <top style="thin">
        <color auto="1"/>
      </top>
      <bottom style="thin">
        <color auto="1"/>
      </bottom>
      <diagonal/>
    </border>
    <border>
      <left style="thin">
        <color auto="1"/>
      </left>
      <right/>
      <top/>
      <bottom/>
      <diagonal/>
    </border>
    <border>
      <left style="medium">
        <color indexed="64"/>
      </left>
      <right style="thin">
        <color auto="1"/>
      </right>
      <top style="thin">
        <color indexed="64"/>
      </top>
      <bottom style="thin">
        <color indexed="64"/>
      </bottom>
      <diagonal/>
    </border>
    <border>
      <left style="thin">
        <color auto="1"/>
      </left>
      <right style="medium">
        <color indexed="64"/>
      </right>
      <top style="thin">
        <color indexed="64"/>
      </top>
      <bottom style="thin">
        <color indexed="64"/>
      </bottom>
      <diagonal/>
    </border>
    <border>
      <left style="medium">
        <color indexed="64"/>
      </left>
      <right style="thin">
        <color auto="1"/>
      </right>
      <top style="thin">
        <color indexed="64"/>
      </top>
      <bottom style="medium">
        <color indexed="64"/>
      </bottom>
      <diagonal/>
    </border>
    <border>
      <left style="thin">
        <color auto="1"/>
      </left>
      <right style="medium">
        <color indexed="64"/>
      </right>
      <top style="thin">
        <color indexed="64"/>
      </top>
      <bottom style="medium">
        <color indexed="64"/>
      </bottom>
      <diagonal/>
    </border>
    <border>
      <left style="medium">
        <color indexed="64"/>
      </left>
      <right style="thin">
        <color auto="1"/>
      </right>
      <top/>
      <bottom style="thin">
        <color indexed="64"/>
      </bottom>
      <diagonal/>
    </border>
    <border>
      <left style="thin">
        <color auto="1"/>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auto="1"/>
      </right>
      <top style="thin">
        <color auto="1"/>
      </top>
      <bottom style="thin">
        <color auto="1"/>
      </bottom>
      <diagonal/>
    </border>
  </borders>
  <cellStyleXfs count="2">
    <xf numFmtId="0" fontId="0" fillId="0" borderId="0"/>
    <xf numFmtId="43" fontId="15" fillId="0" borderId="0" applyFont="0" applyFill="0" applyBorder="0" applyAlignment="0" applyProtection="0"/>
  </cellStyleXfs>
  <cellXfs count="71">
    <xf numFmtId="0" fontId="0" fillId="0" borderId="0" xfId="0"/>
    <xf numFmtId="0" fontId="1" fillId="0" borderId="0" xfId="0" applyFont="1"/>
    <xf numFmtId="0" fontId="0" fillId="0" borderId="1" xfId="0" applyBorder="1"/>
    <xf numFmtId="0" fontId="1" fillId="0" borderId="0" xfId="0" applyFont="1" applyAlignment="1">
      <alignment horizontal="center"/>
    </xf>
    <xf numFmtId="0" fontId="0" fillId="0" borderId="0" xfId="0" applyAlignment="1">
      <alignment wrapText="1"/>
    </xf>
    <xf numFmtId="0" fontId="0" fillId="0" borderId="0" xfId="0" applyAlignment="1">
      <alignment wrapText="1"/>
    </xf>
    <xf numFmtId="0" fontId="0" fillId="0" borderId="0" xfId="0" applyNumberFormat="1" applyFont="1" applyFill="1" applyBorder="1" applyAlignment="1" applyProtection="1">
      <alignment horizontal="left" vertical="top" wrapText="1"/>
    </xf>
    <xf numFmtId="0" fontId="0" fillId="0" borderId="0" xfId="0" applyAlignment="1">
      <alignment horizontal="left" vertical="top" wrapText="1"/>
    </xf>
    <xf numFmtId="0" fontId="0" fillId="0" borderId="0" xfId="0" applyAlignment="1"/>
    <xf numFmtId="0" fontId="9" fillId="0" borderId="0" xfId="0" applyFont="1" applyAlignment="1">
      <alignment horizontal="justify" vertical="center"/>
    </xf>
    <xf numFmtId="0" fontId="0" fillId="0" borderId="0" xfId="0" applyFont="1"/>
    <xf numFmtId="0" fontId="0" fillId="0" borderId="0" xfId="0" applyAlignment="1">
      <alignment horizontal="left" vertical="top" wrapText="1"/>
    </xf>
    <xf numFmtId="0" fontId="0" fillId="0" borderId="0" xfId="0" applyNumberFormat="1" applyFont="1" applyFill="1" applyBorder="1" applyAlignment="1" applyProtection="1">
      <alignment horizontal="left" vertical="top" wrapText="1"/>
    </xf>
    <xf numFmtId="0" fontId="0" fillId="0" borderId="0" xfId="0" applyAlignment="1">
      <alignment vertical="top"/>
    </xf>
    <xf numFmtId="0" fontId="0" fillId="0" borderId="0" xfId="0" applyAlignment="1">
      <alignment horizontal="left" vertical="top"/>
    </xf>
    <xf numFmtId="0" fontId="1" fillId="0" borderId="0" xfId="0" applyFont="1" applyAlignment="1">
      <alignment vertical="center"/>
    </xf>
    <xf numFmtId="0" fontId="0" fillId="0" borderId="1" xfId="0" applyBorder="1" applyAlignment="1">
      <alignment horizontal="center" vertical="top"/>
    </xf>
    <xf numFmtId="14" fontId="0" fillId="0" borderId="1" xfId="0" applyNumberFormat="1" applyBorder="1" applyAlignment="1">
      <alignment horizontal="center" vertical="top"/>
    </xf>
    <xf numFmtId="0" fontId="0" fillId="0" borderId="1" xfId="0" quotePrefix="1" applyBorder="1" applyAlignment="1">
      <alignment horizontal="center" vertical="top"/>
    </xf>
    <xf numFmtId="14" fontId="0" fillId="0" borderId="0" xfId="0" applyNumberFormat="1"/>
    <xf numFmtId="0" fontId="1" fillId="0" borderId="0" xfId="0" applyFont="1" applyAlignment="1">
      <alignment vertical="top"/>
    </xf>
    <xf numFmtId="0" fontId="12" fillId="2" borderId="1" xfId="0" applyFont="1" applyFill="1" applyBorder="1" applyAlignment="1">
      <alignment horizontal="center" vertical="center"/>
    </xf>
    <xf numFmtId="0" fontId="0" fillId="2" borderId="1" xfId="0" applyFill="1" applyBorder="1"/>
    <xf numFmtId="49" fontId="0" fillId="2" borderId="1" xfId="0" applyNumberFormat="1" applyFill="1" applyBorder="1"/>
    <xf numFmtId="15" fontId="0" fillId="2" borderId="1" xfId="0" applyNumberFormat="1" applyFill="1" applyBorder="1"/>
    <xf numFmtId="0" fontId="0" fillId="3" borderId="1" xfId="0" applyFill="1" applyBorder="1"/>
    <xf numFmtId="0" fontId="14" fillId="0" borderId="0" xfId="0" applyFont="1"/>
    <xf numFmtId="0" fontId="13" fillId="0" borderId="1" xfId="0" applyFont="1" applyBorder="1"/>
    <xf numFmtId="0" fontId="14" fillId="0" borderId="1" xfId="0" applyFont="1" applyBorder="1"/>
    <xf numFmtId="15" fontId="14" fillId="0" borderId="1" xfId="0" applyNumberFormat="1" applyFont="1" applyBorder="1"/>
    <xf numFmtId="0" fontId="0" fillId="4" borderId="1" xfId="0" applyFill="1" applyBorder="1"/>
    <xf numFmtId="0" fontId="0" fillId="2" borderId="0" xfId="0" applyFill="1"/>
    <xf numFmtId="43" fontId="0" fillId="0" borderId="0" xfId="1" applyFont="1"/>
    <xf numFmtId="164" fontId="0" fillId="0" borderId="0" xfId="1" applyNumberFormat="1" applyFont="1" applyAlignment="1">
      <alignment horizontal="center" vertical="center"/>
    </xf>
    <xf numFmtId="0" fontId="0" fillId="0" borderId="3" xfId="0" applyBorder="1"/>
    <xf numFmtId="0" fontId="0" fillId="2" borderId="4" xfId="0" applyFill="1" applyBorder="1" applyAlignment="1" applyProtection="1">
      <alignment horizontal="left"/>
      <protection locked="0"/>
    </xf>
    <xf numFmtId="0" fontId="0" fillId="0" borderId="5" xfId="0" applyBorder="1"/>
    <xf numFmtId="0" fontId="0" fillId="2" borderId="6" xfId="0" applyFill="1" applyBorder="1" applyAlignment="1" applyProtection="1">
      <alignment horizontal="left"/>
      <protection locked="0"/>
    </xf>
    <xf numFmtId="0" fontId="0" fillId="0" borderId="7" xfId="0" applyBorder="1"/>
    <xf numFmtId="0" fontId="0" fillId="2" borderId="8" xfId="0" applyFill="1" applyBorder="1" applyProtection="1">
      <protection locked="0"/>
    </xf>
    <xf numFmtId="0" fontId="0" fillId="3" borderId="4" xfId="0" applyFill="1" applyBorder="1" applyAlignment="1" applyProtection="1">
      <alignment horizontal="left"/>
      <protection locked="0"/>
    </xf>
    <xf numFmtId="0" fontId="0" fillId="2" borderId="1" xfId="0" applyNumberFormat="1" applyFill="1" applyBorder="1"/>
    <xf numFmtId="0" fontId="0" fillId="0" borderId="1" xfId="0" applyBorder="1" applyAlignment="1">
      <alignment horizontal="left" vertical="top"/>
    </xf>
    <xf numFmtId="14" fontId="0" fillId="0" borderId="1" xfId="0" applyNumberFormat="1" applyBorder="1" applyAlignment="1">
      <alignment horizontal="left" vertical="top"/>
    </xf>
    <xf numFmtId="0" fontId="0" fillId="0" borderId="11" xfId="0" applyBorder="1"/>
    <xf numFmtId="0" fontId="0" fillId="2" borderId="8" xfId="0" applyFill="1" applyBorder="1" applyAlignment="1" applyProtection="1">
      <alignment horizontal="left"/>
      <protection locked="0"/>
    </xf>
    <xf numFmtId="14" fontId="0" fillId="0" borderId="9" xfId="0" applyNumberFormat="1" applyFill="1" applyBorder="1" applyAlignment="1" applyProtection="1">
      <alignment horizontal="left"/>
      <protection locked="0"/>
    </xf>
    <xf numFmtId="0" fontId="0" fillId="2" borderId="12" xfId="0" applyFill="1" applyBorder="1"/>
    <xf numFmtId="0" fontId="0" fillId="0" borderId="2" xfId="0" applyBorder="1" applyAlignment="1">
      <alignment horizontal="left" vertical="top" wrapText="1"/>
    </xf>
    <xf numFmtId="0" fontId="0" fillId="0" borderId="0" xfId="0" applyAlignment="1">
      <alignment horizontal="left" vertical="top" wrapText="1"/>
    </xf>
    <xf numFmtId="0" fontId="0" fillId="0" borderId="0" xfId="0" applyAlignment="1">
      <alignment horizontal="left" vertical="top"/>
    </xf>
    <xf numFmtId="0" fontId="0" fillId="0" borderId="9" xfId="0" applyBorder="1" applyAlignment="1">
      <alignment horizontal="center"/>
    </xf>
    <xf numFmtId="0" fontId="0" fillId="0" borderId="10" xfId="0" applyBorder="1" applyAlignment="1">
      <alignment horizontal="center"/>
    </xf>
    <xf numFmtId="0" fontId="1" fillId="0" borderId="0" xfId="0" applyFont="1" applyAlignment="1">
      <alignment horizontal="center" vertical="top" wrapText="1"/>
    </xf>
    <xf numFmtId="0" fontId="9" fillId="0" borderId="0" xfId="0" applyFont="1" applyAlignment="1">
      <alignment horizontal="justify" vertical="center"/>
    </xf>
    <xf numFmtId="0" fontId="0" fillId="0" borderId="0" xfId="0" applyAlignment="1"/>
    <xf numFmtId="0" fontId="0" fillId="0" borderId="0" xfId="0" applyAlignment="1">
      <alignment wrapText="1"/>
    </xf>
    <xf numFmtId="0" fontId="0" fillId="0" borderId="0" xfId="0" applyNumberFormat="1" applyFont="1" applyFill="1" applyBorder="1" applyAlignment="1" applyProtection="1">
      <alignment horizontal="left" vertical="top" wrapText="1"/>
    </xf>
    <xf numFmtId="0" fontId="2" fillId="0" borderId="0" xfId="0" applyFont="1" applyAlignment="1"/>
    <xf numFmtId="0" fontId="3" fillId="0" borderId="0" xfId="0" applyFont="1" applyAlignment="1">
      <alignment horizontal="justify" vertical="top" wrapText="1"/>
    </xf>
    <xf numFmtId="0" fontId="0" fillId="0" borderId="0" xfId="0" applyAlignment="1">
      <alignment vertical="top"/>
    </xf>
    <xf numFmtId="0" fontId="0" fillId="0" borderId="0" xfId="0" applyAlignment="1">
      <alignment horizontal="left"/>
    </xf>
    <xf numFmtId="0" fontId="3" fillId="0" borderId="0" xfId="0" applyFont="1" applyAlignment="1">
      <alignment horizontal="justify" vertical="center"/>
    </xf>
    <xf numFmtId="0" fontId="0" fillId="0" borderId="0" xfId="0" applyFont="1" applyAlignment="1"/>
    <xf numFmtId="0" fontId="7" fillId="0" borderId="0" xfId="0" applyFont="1" applyAlignment="1">
      <alignment horizontal="justify" vertical="center"/>
    </xf>
    <xf numFmtId="0" fontId="1" fillId="0" borderId="0" xfId="0" applyFont="1" applyAlignment="1">
      <alignment horizontal="center"/>
    </xf>
    <xf numFmtId="0" fontId="0" fillId="0" borderId="0" xfId="0" applyAlignment="1">
      <alignment horizontal="center"/>
    </xf>
    <xf numFmtId="49" fontId="0" fillId="0" borderId="0" xfId="0" applyNumberFormat="1" applyAlignment="1">
      <alignment horizontal="left" wrapText="1"/>
    </xf>
    <xf numFmtId="0" fontId="14" fillId="0" borderId="1" xfId="0" applyFont="1" applyBorder="1" applyAlignment="1">
      <alignment horizontal="center" vertical="top" wrapText="1"/>
    </xf>
    <xf numFmtId="0" fontId="14" fillId="0" borderId="1" xfId="0" applyFont="1" applyBorder="1" applyAlignment="1">
      <alignment horizontal="center" vertical="top"/>
    </xf>
    <xf numFmtId="0" fontId="0" fillId="3" borderId="1" xfId="0" applyNumberFormat="1" applyFill="1" applyBorder="1"/>
  </cellXfs>
  <cellStyles count="2">
    <cellStyle name="Milliers"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6</xdr:col>
      <xdr:colOff>57149</xdr:colOff>
      <xdr:row>10</xdr:row>
      <xdr:rowOff>104776</xdr:rowOff>
    </xdr:from>
    <xdr:to>
      <xdr:col>12</xdr:col>
      <xdr:colOff>57150</xdr:colOff>
      <xdr:row>12</xdr:row>
      <xdr:rowOff>0</xdr:rowOff>
    </xdr:to>
    <xdr:sp macro="[0]!insertionPOO" textlink="">
      <xdr:nvSpPr>
        <xdr:cNvPr id="2" name="ZoneTexte 1"/>
        <xdr:cNvSpPr txBox="1"/>
      </xdr:nvSpPr>
      <xdr:spPr>
        <a:xfrm>
          <a:off x="7600949" y="2009776"/>
          <a:ext cx="4572001" cy="276224"/>
        </a:xfrm>
        <a:prstGeom prst="rect">
          <a:avLst/>
        </a:prstGeom>
        <a:solidFill>
          <a:schemeClr val="lt1"/>
        </a:solidFill>
        <a:ln w="9525" cmpd="sng">
          <a:solidFill>
            <a:schemeClr val="tx1"/>
          </a:solidFill>
        </a:ln>
        <a:scene3d>
          <a:camera prst="orthographicFront"/>
          <a:lightRig rig="threePt" dir="t"/>
        </a:scene3d>
        <a:sp3d>
          <a:bevelT w="508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b="1" i="0"/>
            <a:t>CLIQUER_POUR_INSERTION _</a:t>
          </a:r>
          <a:r>
            <a:rPr lang="fr-FR" sz="1100" b="1" i="0" baseline="0"/>
            <a:t>DES_DONNEES_DANS_FEUILLE "Entrée"</a:t>
          </a:r>
          <a:endParaRPr lang="fr-FR" sz="1100" b="1" i="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733985</xdr:colOff>
      <xdr:row>19</xdr:row>
      <xdr:rowOff>76842</xdr:rowOff>
    </xdr:from>
    <xdr:to>
      <xdr:col>15</xdr:col>
      <xdr:colOff>733986</xdr:colOff>
      <xdr:row>22</xdr:row>
      <xdr:rowOff>20811</xdr:rowOff>
    </xdr:to>
    <xdr:sp macro="[0]!Delete_sheets" textlink="">
      <xdr:nvSpPr>
        <xdr:cNvPr id="3" name="ZoneTexte 2"/>
        <xdr:cNvSpPr txBox="1"/>
      </xdr:nvSpPr>
      <xdr:spPr>
        <a:xfrm>
          <a:off x="17634056" y="3192878"/>
          <a:ext cx="3374573" cy="515469"/>
        </a:xfrm>
        <a:prstGeom prst="rect">
          <a:avLst/>
        </a:prstGeom>
        <a:solidFill>
          <a:schemeClr val="lt1"/>
        </a:solidFill>
        <a:ln w="25400" cmpd="sng">
          <a:solidFill>
            <a:schemeClr val="tx1"/>
          </a:solidFill>
        </a:ln>
        <a:effectLst>
          <a:outerShdw blurRad="50800" dist="50800" dir="5400000" sx="1000" sy="1000" algn="ctr" rotWithShape="0">
            <a:srgbClr val="000000">
              <a:alpha val="43137"/>
            </a:srgbClr>
          </a:outerShdw>
        </a:effectLst>
        <a:scene3d>
          <a:camera prst="orthographicFront"/>
          <a:lightRig rig="threePt" dir="t"/>
        </a:scene3d>
        <a:sp3d>
          <a:bevelT w="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fr-FR" sz="1100" b="1"/>
            <a:t>MACRO</a:t>
          </a:r>
        </a:p>
        <a:p>
          <a:pPr algn="ctr"/>
          <a:r>
            <a:rPr lang="fr-FR" sz="1100" b="1"/>
            <a:t>Effacer les Ordres de Mission</a:t>
          </a:r>
          <a:r>
            <a:rPr lang="fr-FR" sz="1100" b="1" baseline="0"/>
            <a:t> excel</a:t>
          </a:r>
          <a:endParaRPr lang="fr-FR" sz="1100" b="1"/>
        </a:p>
      </xdr:txBody>
    </xdr:sp>
    <xdr:clientData/>
  </xdr:twoCellAnchor>
  <xdr:twoCellAnchor>
    <xdr:from>
      <xdr:col>12</xdr:col>
      <xdr:colOff>681960</xdr:colOff>
      <xdr:row>13</xdr:row>
      <xdr:rowOff>40821</xdr:rowOff>
    </xdr:from>
    <xdr:to>
      <xdr:col>15</xdr:col>
      <xdr:colOff>726782</xdr:colOff>
      <xdr:row>18</xdr:row>
      <xdr:rowOff>126467</xdr:rowOff>
    </xdr:to>
    <xdr:sp macro="[0]!FinalTotal" textlink="">
      <xdr:nvSpPr>
        <xdr:cNvPr id="2" name="ZoneTexte 1"/>
        <xdr:cNvSpPr txBox="1"/>
      </xdr:nvSpPr>
      <xdr:spPr>
        <a:xfrm>
          <a:off x="17582031" y="3088821"/>
          <a:ext cx="3419394" cy="1038146"/>
        </a:xfrm>
        <a:prstGeom prst="rect">
          <a:avLst/>
        </a:prstGeom>
        <a:solidFill>
          <a:schemeClr val="lt1"/>
        </a:solidFill>
        <a:ln w="25400" cmpd="sng">
          <a:noFill/>
        </a:ln>
        <a:scene3d>
          <a:camera prst="orthographicFront"/>
          <a:lightRig rig="threePt" dir="t"/>
        </a:scene3d>
        <a:sp3d>
          <a:bevelT w="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1"/>
            <a:t>MACRO</a:t>
          </a:r>
        </a:p>
        <a:p>
          <a:pPr algn="ctr"/>
          <a:r>
            <a:rPr lang="fr-FR" sz="1100" b="1"/>
            <a:t>Generer BDD</a:t>
          </a:r>
        </a:p>
        <a:p>
          <a:pPr algn="ctr"/>
          <a:r>
            <a:rPr lang="fr-FR" sz="1100" b="1"/>
            <a:t>et</a:t>
          </a:r>
        </a:p>
        <a:p>
          <a:pPr algn="ctr"/>
          <a:r>
            <a:rPr lang="fr-FR" sz="1100" b="1"/>
            <a:t>Generer les Ordres de mission sous Excel</a:t>
          </a:r>
        </a:p>
      </xdr:txBody>
    </xdr:sp>
    <xdr:clientData/>
  </xdr:twoCellAnchor>
  <xdr:twoCellAnchor>
    <xdr:from>
      <xdr:col>12</xdr:col>
      <xdr:colOff>733986</xdr:colOff>
      <xdr:row>22</xdr:row>
      <xdr:rowOff>180897</xdr:rowOff>
    </xdr:from>
    <xdr:to>
      <xdr:col>15</xdr:col>
      <xdr:colOff>722780</xdr:colOff>
      <xdr:row>26</xdr:row>
      <xdr:rowOff>136072</xdr:rowOff>
    </xdr:to>
    <xdr:sp macro="[0]!Export_PDFs" textlink="">
      <xdr:nvSpPr>
        <xdr:cNvPr id="9" name="ZoneTexte 8"/>
        <xdr:cNvSpPr txBox="1"/>
      </xdr:nvSpPr>
      <xdr:spPr>
        <a:xfrm>
          <a:off x="17634057" y="3868433"/>
          <a:ext cx="3363366" cy="717175"/>
        </a:xfrm>
        <a:prstGeom prst="rect">
          <a:avLst/>
        </a:prstGeom>
        <a:solidFill>
          <a:schemeClr val="lt1"/>
        </a:solidFill>
        <a:ln w="25400" cmpd="sng">
          <a:solidFill>
            <a:schemeClr val="tx1"/>
          </a:solidFill>
        </a:ln>
        <a:effectLst>
          <a:outerShdw blurRad="50800" dist="50800" dir="5400000" sx="1000" sy="1000" algn="ctr" rotWithShape="0">
            <a:srgbClr val="000000">
              <a:alpha val="43137"/>
            </a:srgb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fr-FR" sz="1100" b="1"/>
            <a:t>MACRO</a:t>
          </a:r>
        </a:p>
        <a:p>
          <a:pPr algn="ctr"/>
          <a:r>
            <a:rPr lang="fr-FR" sz="1100" b="1"/>
            <a:t>Exporter tous les PDF</a:t>
          </a:r>
        </a:p>
      </xdr:txBody>
    </xdr:sp>
    <xdr:clientData/>
  </xdr:twoCellAnchor>
  <mc:AlternateContent xmlns:mc="http://schemas.openxmlformats.org/markup-compatibility/2006">
    <mc:Choice xmlns:a14="http://schemas.microsoft.com/office/drawing/2010/main" Requires="a14">
      <xdr:twoCellAnchor>
        <xdr:from>
          <xdr:col>0</xdr:col>
          <xdr:colOff>171450</xdr:colOff>
          <xdr:row>8</xdr:row>
          <xdr:rowOff>0</xdr:rowOff>
        </xdr:from>
        <xdr:to>
          <xdr:col>0</xdr:col>
          <xdr:colOff>1536700</xdr:colOff>
          <xdr:row>8</xdr:row>
          <xdr:rowOff>0</xdr:rowOff>
        </xdr:to>
        <xdr:sp macro="" textlink="">
          <xdr:nvSpPr>
            <xdr:cNvPr id="9231" name="CheckBox2" hidden="1">
              <a:extLst>
                <a:ext uri="{63B3BB69-23CF-44E3-9099-C40C66FF867C}">
                  <a14:compatExt spid="_x0000_s92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304800</xdr:colOff>
          <xdr:row>8</xdr:row>
          <xdr:rowOff>0</xdr:rowOff>
        </xdr:from>
        <xdr:to>
          <xdr:col>0</xdr:col>
          <xdr:colOff>1670050</xdr:colOff>
          <xdr:row>8</xdr:row>
          <xdr:rowOff>0</xdr:rowOff>
        </xdr:to>
        <xdr:sp macro="" textlink="">
          <xdr:nvSpPr>
            <xdr:cNvPr id="9232" name="CheckBox3" hidden="1">
              <a:extLst>
                <a:ext uri="{63B3BB69-23CF-44E3-9099-C40C66FF867C}">
                  <a14:compatExt spid="_x0000_s9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304800</xdr:colOff>
          <xdr:row>8</xdr:row>
          <xdr:rowOff>0</xdr:rowOff>
        </xdr:from>
        <xdr:to>
          <xdr:col>0</xdr:col>
          <xdr:colOff>1670050</xdr:colOff>
          <xdr:row>8</xdr:row>
          <xdr:rowOff>0</xdr:rowOff>
        </xdr:to>
        <xdr:sp macro="" textlink="">
          <xdr:nvSpPr>
            <xdr:cNvPr id="9233" name="CheckBox4" hidden="1">
              <a:extLst>
                <a:ext uri="{63B3BB69-23CF-44E3-9099-C40C66FF867C}">
                  <a14:compatExt spid="_x0000_s9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1019737</xdr:colOff>
      <xdr:row>6</xdr:row>
      <xdr:rowOff>313765</xdr:rowOff>
    </xdr:from>
    <xdr:to>
      <xdr:col>0</xdr:col>
      <xdr:colOff>1165413</xdr:colOff>
      <xdr:row>7</xdr:row>
      <xdr:rowOff>44824</xdr:rowOff>
    </xdr:to>
    <xdr:sp macro="" textlink="">
      <xdr:nvSpPr>
        <xdr:cNvPr id="8" name="Flèche vers le bas 7"/>
        <xdr:cNvSpPr/>
      </xdr:nvSpPr>
      <xdr:spPr>
        <a:xfrm>
          <a:off x="1019737" y="694765"/>
          <a:ext cx="145676" cy="17929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772406</xdr:colOff>
      <xdr:row>48</xdr:row>
      <xdr:rowOff>64034</xdr:rowOff>
    </xdr:from>
    <xdr:to>
      <xdr:col>15</xdr:col>
      <xdr:colOff>761200</xdr:colOff>
      <xdr:row>52</xdr:row>
      <xdr:rowOff>19209</xdr:rowOff>
    </xdr:to>
    <xdr:sp macro="[0]!Delete_ALL" textlink="">
      <xdr:nvSpPr>
        <xdr:cNvPr id="13" name="ZoneTexte 12"/>
        <xdr:cNvSpPr txBox="1"/>
      </xdr:nvSpPr>
      <xdr:spPr>
        <a:xfrm>
          <a:off x="17672477" y="9017534"/>
          <a:ext cx="3363366" cy="717175"/>
        </a:xfrm>
        <a:prstGeom prst="rect">
          <a:avLst/>
        </a:prstGeom>
        <a:solidFill>
          <a:schemeClr val="lt1"/>
        </a:solidFill>
        <a:ln w="25400" cmpd="sng">
          <a:solidFill>
            <a:schemeClr val="tx1"/>
          </a:solidFill>
        </a:ln>
        <a:effectLst>
          <a:outerShdw blurRad="50800" dist="50800" dir="5400000" sx="1000" sy="1000" algn="ctr" rotWithShape="0">
            <a:srgbClr val="000000">
              <a:alpha val="43137"/>
            </a:srgb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fr-FR" sz="1100" b="1">
              <a:solidFill>
                <a:srgbClr val="FF0000"/>
              </a:solidFill>
            </a:rPr>
            <a:t>MACRO</a:t>
          </a:r>
        </a:p>
        <a:p>
          <a:pPr algn="ctr"/>
          <a:r>
            <a:rPr lang="fr-FR" sz="1100" b="1">
              <a:solidFill>
                <a:srgbClr val="FF0000"/>
              </a:solidFill>
            </a:rPr>
            <a:t>Effacer la table et la BDD</a:t>
          </a:r>
        </a:p>
      </xdr:txBody>
    </xdr:sp>
    <xdr:clientData/>
  </xdr:twoCellAnchor>
  <xdr:twoCellAnchor>
    <xdr:from>
      <xdr:col>0</xdr:col>
      <xdr:colOff>1019737</xdr:colOff>
      <xdr:row>7</xdr:row>
      <xdr:rowOff>313765</xdr:rowOff>
    </xdr:from>
    <xdr:to>
      <xdr:col>0</xdr:col>
      <xdr:colOff>1165413</xdr:colOff>
      <xdr:row>8</xdr:row>
      <xdr:rowOff>44824</xdr:rowOff>
    </xdr:to>
    <xdr:sp macro="" textlink="">
      <xdr:nvSpPr>
        <xdr:cNvPr id="10" name="Flèche vers le bas 9"/>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xdr:row>
      <xdr:rowOff>313765</xdr:rowOff>
    </xdr:from>
    <xdr:to>
      <xdr:col>0</xdr:col>
      <xdr:colOff>1165413</xdr:colOff>
      <xdr:row>9</xdr:row>
      <xdr:rowOff>44824</xdr:rowOff>
    </xdr:to>
    <xdr:sp macro="" textlink="">
      <xdr:nvSpPr>
        <xdr:cNvPr id="11" name="Flèche vers le bas 10"/>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xdr:row>
      <xdr:rowOff>313765</xdr:rowOff>
    </xdr:from>
    <xdr:to>
      <xdr:col>0</xdr:col>
      <xdr:colOff>1165413</xdr:colOff>
      <xdr:row>10</xdr:row>
      <xdr:rowOff>44824</xdr:rowOff>
    </xdr:to>
    <xdr:sp macro="" textlink="">
      <xdr:nvSpPr>
        <xdr:cNvPr id="12" name="Flèche vers le bas 11"/>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xdr:row>
      <xdr:rowOff>313765</xdr:rowOff>
    </xdr:from>
    <xdr:to>
      <xdr:col>0</xdr:col>
      <xdr:colOff>1165413</xdr:colOff>
      <xdr:row>10</xdr:row>
      <xdr:rowOff>44824</xdr:rowOff>
    </xdr:to>
    <xdr:sp macro="" textlink="">
      <xdr:nvSpPr>
        <xdr:cNvPr id="14" name="Flèche vers le bas 13"/>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15" name="Flèche vers le bas 14"/>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16" name="Flèche vers le bas 15"/>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17" name="Flèche vers le bas 16"/>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18" name="Flèche vers le bas 17"/>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19" name="Flèche vers le bas 18"/>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20" name="Flèche vers le bas 19"/>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21" name="Flèche vers le bas 20"/>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22" name="Flèche vers le bas 21"/>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23" name="Flèche vers le bas 22"/>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24" name="Flèche vers le bas 23"/>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25" name="Flèche vers le bas 24"/>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26" name="Flèche vers le bas 25"/>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27" name="Flèche vers le bas 26"/>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28" name="Flèche vers le bas 27"/>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29" name="Flèche vers le bas 28"/>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30" name="Flèche vers le bas 29"/>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31" name="Flèche vers le bas 30"/>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32" name="Flèche vers le bas 31"/>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33" name="Flèche vers le bas 32"/>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34" name="Flèche vers le bas 33"/>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35" name="Flèche vers le bas 34"/>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36" name="Flèche vers le bas 35"/>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37" name="Flèche vers le bas 36"/>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38" name="Flèche vers le bas 37"/>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39" name="Flèche vers le bas 38"/>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40" name="Flèche vers le bas 39"/>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41" name="Flèche vers le bas 40"/>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42" name="Flèche vers le bas 41"/>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43" name="Flèche vers le bas 42"/>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44" name="Flèche vers le bas 43"/>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45" name="Flèche vers le bas 44"/>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46" name="Flèche vers le bas 45"/>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47" name="Flèche vers le bas 46"/>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48" name="Flèche vers le bas 47"/>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49" name="Flèche vers le bas 48"/>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50" name="Flèche vers le bas 49"/>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51" name="Flèche vers le bas 50"/>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52" name="Flèche vers le bas 51"/>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53" name="Flèche vers le bas 52"/>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54" name="Flèche vers le bas 53"/>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55" name="Flèche vers le bas 54"/>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56" name="Flèche vers le bas 55"/>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57" name="Flèche vers le bas 56"/>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58" name="Flèche vers le bas 57"/>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59" name="Flèche vers le bas 58"/>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60" name="Flèche vers le bas 59"/>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61" name="Flèche vers le bas 60"/>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62" name="Flèche vers le bas 61"/>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63" name="Flèche vers le bas 62"/>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64" name="Flèche vers le bas 63"/>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65" name="Flèche vers le bas 64"/>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66" name="Flèche vers le bas 65"/>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67" name="Flèche vers le bas 66"/>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68" name="Flèche vers le bas 67"/>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69" name="Flèche vers le bas 68"/>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70" name="Flèche vers le bas 69"/>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38</xdr:row>
      <xdr:rowOff>313765</xdr:rowOff>
    </xdr:from>
    <xdr:to>
      <xdr:col>0</xdr:col>
      <xdr:colOff>1165413</xdr:colOff>
      <xdr:row>39</xdr:row>
      <xdr:rowOff>44824</xdr:rowOff>
    </xdr:to>
    <xdr:sp macro="" textlink="">
      <xdr:nvSpPr>
        <xdr:cNvPr id="71" name="Flèche vers le bas 70"/>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38</xdr:row>
      <xdr:rowOff>313765</xdr:rowOff>
    </xdr:from>
    <xdr:to>
      <xdr:col>0</xdr:col>
      <xdr:colOff>1165413</xdr:colOff>
      <xdr:row>39</xdr:row>
      <xdr:rowOff>44824</xdr:rowOff>
    </xdr:to>
    <xdr:sp macro="" textlink="">
      <xdr:nvSpPr>
        <xdr:cNvPr id="72" name="Flèche vers le bas 71"/>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39</xdr:row>
      <xdr:rowOff>313765</xdr:rowOff>
    </xdr:from>
    <xdr:to>
      <xdr:col>0</xdr:col>
      <xdr:colOff>1165413</xdr:colOff>
      <xdr:row>40</xdr:row>
      <xdr:rowOff>44824</xdr:rowOff>
    </xdr:to>
    <xdr:sp macro="" textlink="">
      <xdr:nvSpPr>
        <xdr:cNvPr id="73" name="Flèche vers le bas 72"/>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39</xdr:row>
      <xdr:rowOff>313765</xdr:rowOff>
    </xdr:from>
    <xdr:to>
      <xdr:col>0</xdr:col>
      <xdr:colOff>1165413</xdr:colOff>
      <xdr:row>40</xdr:row>
      <xdr:rowOff>44824</xdr:rowOff>
    </xdr:to>
    <xdr:sp macro="" textlink="">
      <xdr:nvSpPr>
        <xdr:cNvPr id="74" name="Flèche vers le bas 73"/>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40</xdr:row>
      <xdr:rowOff>313765</xdr:rowOff>
    </xdr:from>
    <xdr:to>
      <xdr:col>0</xdr:col>
      <xdr:colOff>1165413</xdr:colOff>
      <xdr:row>41</xdr:row>
      <xdr:rowOff>44824</xdr:rowOff>
    </xdr:to>
    <xdr:sp macro="" textlink="">
      <xdr:nvSpPr>
        <xdr:cNvPr id="75" name="Flèche vers le bas 74"/>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40</xdr:row>
      <xdr:rowOff>313765</xdr:rowOff>
    </xdr:from>
    <xdr:to>
      <xdr:col>0</xdr:col>
      <xdr:colOff>1165413</xdr:colOff>
      <xdr:row>41</xdr:row>
      <xdr:rowOff>44824</xdr:rowOff>
    </xdr:to>
    <xdr:sp macro="" textlink="">
      <xdr:nvSpPr>
        <xdr:cNvPr id="76" name="Flèche vers le bas 75"/>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41</xdr:row>
      <xdr:rowOff>313765</xdr:rowOff>
    </xdr:from>
    <xdr:to>
      <xdr:col>0</xdr:col>
      <xdr:colOff>1165413</xdr:colOff>
      <xdr:row>42</xdr:row>
      <xdr:rowOff>44824</xdr:rowOff>
    </xdr:to>
    <xdr:sp macro="" textlink="">
      <xdr:nvSpPr>
        <xdr:cNvPr id="77" name="Flèche vers le bas 76"/>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41</xdr:row>
      <xdr:rowOff>313765</xdr:rowOff>
    </xdr:from>
    <xdr:to>
      <xdr:col>0</xdr:col>
      <xdr:colOff>1165413</xdr:colOff>
      <xdr:row>42</xdr:row>
      <xdr:rowOff>44824</xdr:rowOff>
    </xdr:to>
    <xdr:sp macro="" textlink="">
      <xdr:nvSpPr>
        <xdr:cNvPr id="78" name="Flèche vers le bas 77"/>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42</xdr:row>
      <xdr:rowOff>313765</xdr:rowOff>
    </xdr:from>
    <xdr:to>
      <xdr:col>0</xdr:col>
      <xdr:colOff>1165413</xdr:colOff>
      <xdr:row>43</xdr:row>
      <xdr:rowOff>44824</xdr:rowOff>
    </xdr:to>
    <xdr:sp macro="" textlink="">
      <xdr:nvSpPr>
        <xdr:cNvPr id="79" name="Flèche vers le bas 78"/>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42</xdr:row>
      <xdr:rowOff>313765</xdr:rowOff>
    </xdr:from>
    <xdr:to>
      <xdr:col>0</xdr:col>
      <xdr:colOff>1165413</xdr:colOff>
      <xdr:row>43</xdr:row>
      <xdr:rowOff>44824</xdr:rowOff>
    </xdr:to>
    <xdr:sp macro="" textlink="">
      <xdr:nvSpPr>
        <xdr:cNvPr id="80" name="Flèche vers le bas 79"/>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43</xdr:row>
      <xdr:rowOff>313765</xdr:rowOff>
    </xdr:from>
    <xdr:to>
      <xdr:col>0</xdr:col>
      <xdr:colOff>1165413</xdr:colOff>
      <xdr:row>44</xdr:row>
      <xdr:rowOff>44824</xdr:rowOff>
    </xdr:to>
    <xdr:sp macro="" textlink="">
      <xdr:nvSpPr>
        <xdr:cNvPr id="81" name="Flèche vers le bas 80"/>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43</xdr:row>
      <xdr:rowOff>313765</xdr:rowOff>
    </xdr:from>
    <xdr:to>
      <xdr:col>0</xdr:col>
      <xdr:colOff>1165413</xdr:colOff>
      <xdr:row>44</xdr:row>
      <xdr:rowOff>44824</xdr:rowOff>
    </xdr:to>
    <xdr:sp macro="" textlink="">
      <xdr:nvSpPr>
        <xdr:cNvPr id="82" name="Flèche vers le bas 81"/>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44</xdr:row>
      <xdr:rowOff>313765</xdr:rowOff>
    </xdr:from>
    <xdr:to>
      <xdr:col>0</xdr:col>
      <xdr:colOff>1165413</xdr:colOff>
      <xdr:row>45</xdr:row>
      <xdr:rowOff>44824</xdr:rowOff>
    </xdr:to>
    <xdr:sp macro="" textlink="">
      <xdr:nvSpPr>
        <xdr:cNvPr id="83" name="Flèche vers le bas 82"/>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44</xdr:row>
      <xdr:rowOff>313765</xdr:rowOff>
    </xdr:from>
    <xdr:to>
      <xdr:col>0</xdr:col>
      <xdr:colOff>1165413</xdr:colOff>
      <xdr:row>45</xdr:row>
      <xdr:rowOff>44824</xdr:rowOff>
    </xdr:to>
    <xdr:sp macro="" textlink="">
      <xdr:nvSpPr>
        <xdr:cNvPr id="84" name="Flèche vers le bas 83"/>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45</xdr:row>
      <xdr:rowOff>313765</xdr:rowOff>
    </xdr:from>
    <xdr:to>
      <xdr:col>0</xdr:col>
      <xdr:colOff>1165413</xdr:colOff>
      <xdr:row>46</xdr:row>
      <xdr:rowOff>44824</xdr:rowOff>
    </xdr:to>
    <xdr:sp macro="" textlink="">
      <xdr:nvSpPr>
        <xdr:cNvPr id="85" name="Flèche vers le bas 84"/>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45</xdr:row>
      <xdr:rowOff>313765</xdr:rowOff>
    </xdr:from>
    <xdr:to>
      <xdr:col>0</xdr:col>
      <xdr:colOff>1165413</xdr:colOff>
      <xdr:row>46</xdr:row>
      <xdr:rowOff>44824</xdr:rowOff>
    </xdr:to>
    <xdr:sp macro="" textlink="">
      <xdr:nvSpPr>
        <xdr:cNvPr id="86" name="Flèche vers le bas 85"/>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46</xdr:row>
      <xdr:rowOff>313765</xdr:rowOff>
    </xdr:from>
    <xdr:to>
      <xdr:col>0</xdr:col>
      <xdr:colOff>1165413</xdr:colOff>
      <xdr:row>47</xdr:row>
      <xdr:rowOff>44824</xdr:rowOff>
    </xdr:to>
    <xdr:sp macro="" textlink="">
      <xdr:nvSpPr>
        <xdr:cNvPr id="87" name="Flèche vers le bas 86"/>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46</xdr:row>
      <xdr:rowOff>313765</xdr:rowOff>
    </xdr:from>
    <xdr:to>
      <xdr:col>0</xdr:col>
      <xdr:colOff>1165413</xdr:colOff>
      <xdr:row>47</xdr:row>
      <xdr:rowOff>44824</xdr:rowOff>
    </xdr:to>
    <xdr:sp macro="" textlink="">
      <xdr:nvSpPr>
        <xdr:cNvPr id="88" name="Flèche vers le bas 87"/>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47</xdr:row>
      <xdr:rowOff>313765</xdr:rowOff>
    </xdr:from>
    <xdr:to>
      <xdr:col>0</xdr:col>
      <xdr:colOff>1165413</xdr:colOff>
      <xdr:row>48</xdr:row>
      <xdr:rowOff>44824</xdr:rowOff>
    </xdr:to>
    <xdr:sp macro="" textlink="">
      <xdr:nvSpPr>
        <xdr:cNvPr id="89" name="Flèche vers le bas 88"/>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47</xdr:row>
      <xdr:rowOff>313765</xdr:rowOff>
    </xdr:from>
    <xdr:to>
      <xdr:col>0</xdr:col>
      <xdr:colOff>1165413</xdr:colOff>
      <xdr:row>48</xdr:row>
      <xdr:rowOff>44824</xdr:rowOff>
    </xdr:to>
    <xdr:sp macro="" textlink="">
      <xdr:nvSpPr>
        <xdr:cNvPr id="90" name="Flèche vers le bas 89"/>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48</xdr:row>
      <xdr:rowOff>313765</xdr:rowOff>
    </xdr:from>
    <xdr:to>
      <xdr:col>0</xdr:col>
      <xdr:colOff>1165413</xdr:colOff>
      <xdr:row>49</xdr:row>
      <xdr:rowOff>44824</xdr:rowOff>
    </xdr:to>
    <xdr:sp macro="" textlink="">
      <xdr:nvSpPr>
        <xdr:cNvPr id="91" name="Flèche vers le bas 90"/>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48</xdr:row>
      <xdr:rowOff>313765</xdr:rowOff>
    </xdr:from>
    <xdr:to>
      <xdr:col>0</xdr:col>
      <xdr:colOff>1165413</xdr:colOff>
      <xdr:row>49</xdr:row>
      <xdr:rowOff>44824</xdr:rowOff>
    </xdr:to>
    <xdr:sp macro="" textlink="">
      <xdr:nvSpPr>
        <xdr:cNvPr id="92" name="Flèche vers le bas 91"/>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49</xdr:row>
      <xdr:rowOff>313765</xdr:rowOff>
    </xdr:from>
    <xdr:to>
      <xdr:col>0</xdr:col>
      <xdr:colOff>1165413</xdr:colOff>
      <xdr:row>50</xdr:row>
      <xdr:rowOff>44824</xdr:rowOff>
    </xdr:to>
    <xdr:sp macro="" textlink="">
      <xdr:nvSpPr>
        <xdr:cNvPr id="93" name="Flèche vers le bas 92"/>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49</xdr:row>
      <xdr:rowOff>313765</xdr:rowOff>
    </xdr:from>
    <xdr:to>
      <xdr:col>0</xdr:col>
      <xdr:colOff>1165413</xdr:colOff>
      <xdr:row>50</xdr:row>
      <xdr:rowOff>44824</xdr:rowOff>
    </xdr:to>
    <xdr:sp macro="" textlink="">
      <xdr:nvSpPr>
        <xdr:cNvPr id="94" name="Flèche vers le bas 93"/>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50</xdr:row>
      <xdr:rowOff>313765</xdr:rowOff>
    </xdr:from>
    <xdr:to>
      <xdr:col>0</xdr:col>
      <xdr:colOff>1165413</xdr:colOff>
      <xdr:row>51</xdr:row>
      <xdr:rowOff>44824</xdr:rowOff>
    </xdr:to>
    <xdr:sp macro="" textlink="">
      <xdr:nvSpPr>
        <xdr:cNvPr id="95" name="Flèche vers le bas 94"/>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50</xdr:row>
      <xdr:rowOff>313765</xdr:rowOff>
    </xdr:from>
    <xdr:to>
      <xdr:col>0</xdr:col>
      <xdr:colOff>1165413</xdr:colOff>
      <xdr:row>51</xdr:row>
      <xdr:rowOff>44824</xdr:rowOff>
    </xdr:to>
    <xdr:sp macro="" textlink="">
      <xdr:nvSpPr>
        <xdr:cNvPr id="96" name="Flèche vers le bas 95"/>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51</xdr:row>
      <xdr:rowOff>313765</xdr:rowOff>
    </xdr:from>
    <xdr:to>
      <xdr:col>0</xdr:col>
      <xdr:colOff>1165413</xdr:colOff>
      <xdr:row>52</xdr:row>
      <xdr:rowOff>44824</xdr:rowOff>
    </xdr:to>
    <xdr:sp macro="" textlink="">
      <xdr:nvSpPr>
        <xdr:cNvPr id="97" name="Flèche vers le bas 96"/>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51</xdr:row>
      <xdr:rowOff>313765</xdr:rowOff>
    </xdr:from>
    <xdr:to>
      <xdr:col>0</xdr:col>
      <xdr:colOff>1165413</xdr:colOff>
      <xdr:row>52</xdr:row>
      <xdr:rowOff>44824</xdr:rowOff>
    </xdr:to>
    <xdr:sp macro="" textlink="">
      <xdr:nvSpPr>
        <xdr:cNvPr id="98" name="Flèche vers le bas 97"/>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52</xdr:row>
      <xdr:rowOff>313765</xdr:rowOff>
    </xdr:from>
    <xdr:to>
      <xdr:col>0</xdr:col>
      <xdr:colOff>1165413</xdr:colOff>
      <xdr:row>53</xdr:row>
      <xdr:rowOff>44824</xdr:rowOff>
    </xdr:to>
    <xdr:sp macro="" textlink="">
      <xdr:nvSpPr>
        <xdr:cNvPr id="99" name="Flèche vers le bas 98"/>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52</xdr:row>
      <xdr:rowOff>313765</xdr:rowOff>
    </xdr:from>
    <xdr:to>
      <xdr:col>0</xdr:col>
      <xdr:colOff>1165413</xdr:colOff>
      <xdr:row>53</xdr:row>
      <xdr:rowOff>44824</xdr:rowOff>
    </xdr:to>
    <xdr:sp macro="" textlink="">
      <xdr:nvSpPr>
        <xdr:cNvPr id="100" name="Flèche vers le bas 99"/>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53</xdr:row>
      <xdr:rowOff>313765</xdr:rowOff>
    </xdr:from>
    <xdr:to>
      <xdr:col>0</xdr:col>
      <xdr:colOff>1165413</xdr:colOff>
      <xdr:row>54</xdr:row>
      <xdr:rowOff>44824</xdr:rowOff>
    </xdr:to>
    <xdr:sp macro="" textlink="">
      <xdr:nvSpPr>
        <xdr:cNvPr id="101" name="Flèche vers le bas 100"/>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53</xdr:row>
      <xdr:rowOff>313765</xdr:rowOff>
    </xdr:from>
    <xdr:to>
      <xdr:col>0</xdr:col>
      <xdr:colOff>1165413</xdr:colOff>
      <xdr:row>54</xdr:row>
      <xdr:rowOff>44824</xdr:rowOff>
    </xdr:to>
    <xdr:sp macro="" textlink="">
      <xdr:nvSpPr>
        <xdr:cNvPr id="102" name="Flèche vers le bas 101"/>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54</xdr:row>
      <xdr:rowOff>313765</xdr:rowOff>
    </xdr:from>
    <xdr:to>
      <xdr:col>0</xdr:col>
      <xdr:colOff>1165413</xdr:colOff>
      <xdr:row>55</xdr:row>
      <xdr:rowOff>44824</xdr:rowOff>
    </xdr:to>
    <xdr:sp macro="" textlink="">
      <xdr:nvSpPr>
        <xdr:cNvPr id="103" name="Flèche vers le bas 102"/>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54</xdr:row>
      <xdr:rowOff>313765</xdr:rowOff>
    </xdr:from>
    <xdr:to>
      <xdr:col>0</xdr:col>
      <xdr:colOff>1165413</xdr:colOff>
      <xdr:row>55</xdr:row>
      <xdr:rowOff>44824</xdr:rowOff>
    </xdr:to>
    <xdr:sp macro="" textlink="">
      <xdr:nvSpPr>
        <xdr:cNvPr id="104" name="Flèche vers le bas 103"/>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55</xdr:row>
      <xdr:rowOff>313765</xdr:rowOff>
    </xdr:from>
    <xdr:to>
      <xdr:col>0</xdr:col>
      <xdr:colOff>1165413</xdr:colOff>
      <xdr:row>56</xdr:row>
      <xdr:rowOff>44824</xdr:rowOff>
    </xdr:to>
    <xdr:sp macro="" textlink="">
      <xdr:nvSpPr>
        <xdr:cNvPr id="105" name="Flèche vers le bas 104"/>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55</xdr:row>
      <xdr:rowOff>313765</xdr:rowOff>
    </xdr:from>
    <xdr:to>
      <xdr:col>0</xdr:col>
      <xdr:colOff>1165413</xdr:colOff>
      <xdr:row>56</xdr:row>
      <xdr:rowOff>44824</xdr:rowOff>
    </xdr:to>
    <xdr:sp macro="" textlink="">
      <xdr:nvSpPr>
        <xdr:cNvPr id="106" name="Flèche vers le bas 105"/>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56</xdr:row>
      <xdr:rowOff>313765</xdr:rowOff>
    </xdr:from>
    <xdr:to>
      <xdr:col>0</xdr:col>
      <xdr:colOff>1165413</xdr:colOff>
      <xdr:row>57</xdr:row>
      <xdr:rowOff>44824</xdr:rowOff>
    </xdr:to>
    <xdr:sp macro="" textlink="">
      <xdr:nvSpPr>
        <xdr:cNvPr id="107" name="Flèche vers le bas 106"/>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56</xdr:row>
      <xdr:rowOff>313765</xdr:rowOff>
    </xdr:from>
    <xdr:to>
      <xdr:col>0</xdr:col>
      <xdr:colOff>1165413</xdr:colOff>
      <xdr:row>57</xdr:row>
      <xdr:rowOff>44824</xdr:rowOff>
    </xdr:to>
    <xdr:sp macro="" textlink="">
      <xdr:nvSpPr>
        <xdr:cNvPr id="108" name="Flèche vers le bas 107"/>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57</xdr:row>
      <xdr:rowOff>313765</xdr:rowOff>
    </xdr:from>
    <xdr:to>
      <xdr:col>0</xdr:col>
      <xdr:colOff>1165413</xdr:colOff>
      <xdr:row>58</xdr:row>
      <xdr:rowOff>44824</xdr:rowOff>
    </xdr:to>
    <xdr:sp macro="" textlink="">
      <xdr:nvSpPr>
        <xdr:cNvPr id="109" name="Flèche vers le bas 108"/>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57</xdr:row>
      <xdr:rowOff>313765</xdr:rowOff>
    </xdr:from>
    <xdr:to>
      <xdr:col>0</xdr:col>
      <xdr:colOff>1165413</xdr:colOff>
      <xdr:row>58</xdr:row>
      <xdr:rowOff>44824</xdr:rowOff>
    </xdr:to>
    <xdr:sp macro="" textlink="">
      <xdr:nvSpPr>
        <xdr:cNvPr id="110" name="Flèche vers le bas 109"/>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58</xdr:row>
      <xdr:rowOff>313765</xdr:rowOff>
    </xdr:from>
    <xdr:to>
      <xdr:col>0</xdr:col>
      <xdr:colOff>1165413</xdr:colOff>
      <xdr:row>59</xdr:row>
      <xdr:rowOff>44824</xdr:rowOff>
    </xdr:to>
    <xdr:sp macro="" textlink="">
      <xdr:nvSpPr>
        <xdr:cNvPr id="111" name="Flèche vers le bas 110"/>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58</xdr:row>
      <xdr:rowOff>313765</xdr:rowOff>
    </xdr:from>
    <xdr:to>
      <xdr:col>0</xdr:col>
      <xdr:colOff>1165413</xdr:colOff>
      <xdr:row>59</xdr:row>
      <xdr:rowOff>44824</xdr:rowOff>
    </xdr:to>
    <xdr:sp macro="" textlink="">
      <xdr:nvSpPr>
        <xdr:cNvPr id="112" name="Flèche vers le bas 111"/>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59</xdr:row>
      <xdr:rowOff>313765</xdr:rowOff>
    </xdr:from>
    <xdr:to>
      <xdr:col>0</xdr:col>
      <xdr:colOff>1165413</xdr:colOff>
      <xdr:row>60</xdr:row>
      <xdr:rowOff>44824</xdr:rowOff>
    </xdr:to>
    <xdr:sp macro="" textlink="">
      <xdr:nvSpPr>
        <xdr:cNvPr id="113" name="Flèche vers le bas 112"/>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59</xdr:row>
      <xdr:rowOff>313765</xdr:rowOff>
    </xdr:from>
    <xdr:to>
      <xdr:col>0</xdr:col>
      <xdr:colOff>1165413</xdr:colOff>
      <xdr:row>60</xdr:row>
      <xdr:rowOff>44824</xdr:rowOff>
    </xdr:to>
    <xdr:sp macro="" textlink="">
      <xdr:nvSpPr>
        <xdr:cNvPr id="114" name="Flèche vers le bas 113"/>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60</xdr:row>
      <xdr:rowOff>313765</xdr:rowOff>
    </xdr:from>
    <xdr:to>
      <xdr:col>0</xdr:col>
      <xdr:colOff>1165413</xdr:colOff>
      <xdr:row>61</xdr:row>
      <xdr:rowOff>44824</xdr:rowOff>
    </xdr:to>
    <xdr:sp macro="" textlink="">
      <xdr:nvSpPr>
        <xdr:cNvPr id="115" name="Flèche vers le bas 114"/>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60</xdr:row>
      <xdr:rowOff>313765</xdr:rowOff>
    </xdr:from>
    <xdr:to>
      <xdr:col>0</xdr:col>
      <xdr:colOff>1165413</xdr:colOff>
      <xdr:row>61</xdr:row>
      <xdr:rowOff>44824</xdr:rowOff>
    </xdr:to>
    <xdr:sp macro="" textlink="">
      <xdr:nvSpPr>
        <xdr:cNvPr id="116" name="Flèche vers le bas 115"/>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61</xdr:row>
      <xdr:rowOff>313765</xdr:rowOff>
    </xdr:from>
    <xdr:to>
      <xdr:col>0</xdr:col>
      <xdr:colOff>1165413</xdr:colOff>
      <xdr:row>62</xdr:row>
      <xdr:rowOff>44824</xdr:rowOff>
    </xdr:to>
    <xdr:sp macro="" textlink="">
      <xdr:nvSpPr>
        <xdr:cNvPr id="117" name="Flèche vers le bas 116"/>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61</xdr:row>
      <xdr:rowOff>313765</xdr:rowOff>
    </xdr:from>
    <xdr:to>
      <xdr:col>0</xdr:col>
      <xdr:colOff>1165413</xdr:colOff>
      <xdr:row>62</xdr:row>
      <xdr:rowOff>44824</xdr:rowOff>
    </xdr:to>
    <xdr:sp macro="" textlink="">
      <xdr:nvSpPr>
        <xdr:cNvPr id="118" name="Flèche vers le bas 117"/>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62</xdr:row>
      <xdr:rowOff>313765</xdr:rowOff>
    </xdr:from>
    <xdr:to>
      <xdr:col>0</xdr:col>
      <xdr:colOff>1165413</xdr:colOff>
      <xdr:row>63</xdr:row>
      <xdr:rowOff>44824</xdr:rowOff>
    </xdr:to>
    <xdr:sp macro="" textlink="">
      <xdr:nvSpPr>
        <xdr:cNvPr id="119" name="Flèche vers le bas 118"/>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62</xdr:row>
      <xdr:rowOff>313765</xdr:rowOff>
    </xdr:from>
    <xdr:to>
      <xdr:col>0</xdr:col>
      <xdr:colOff>1165413</xdr:colOff>
      <xdr:row>63</xdr:row>
      <xdr:rowOff>44824</xdr:rowOff>
    </xdr:to>
    <xdr:sp macro="" textlink="">
      <xdr:nvSpPr>
        <xdr:cNvPr id="120" name="Flèche vers le bas 119"/>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63</xdr:row>
      <xdr:rowOff>313765</xdr:rowOff>
    </xdr:from>
    <xdr:to>
      <xdr:col>0</xdr:col>
      <xdr:colOff>1165413</xdr:colOff>
      <xdr:row>64</xdr:row>
      <xdr:rowOff>44824</xdr:rowOff>
    </xdr:to>
    <xdr:sp macro="" textlink="">
      <xdr:nvSpPr>
        <xdr:cNvPr id="121" name="Flèche vers le bas 120"/>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63</xdr:row>
      <xdr:rowOff>313765</xdr:rowOff>
    </xdr:from>
    <xdr:to>
      <xdr:col>0</xdr:col>
      <xdr:colOff>1165413</xdr:colOff>
      <xdr:row>64</xdr:row>
      <xdr:rowOff>44824</xdr:rowOff>
    </xdr:to>
    <xdr:sp macro="" textlink="">
      <xdr:nvSpPr>
        <xdr:cNvPr id="122" name="Flèche vers le bas 121"/>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64</xdr:row>
      <xdr:rowOff>313765</xdr:rowOff>
    </xdr:from>
    <xdr:to>
      <xdr:col>0</xdr:col>
      <xdr:colOff>1165413</xdr:colOff>
      <xdr:row>65</xdr:row>
      <xdr:rowOff>44824</xdr:rowOff>
    </xdr:to>
    <xdr:sp macro="" textlink="">
      <xdr:nvSpPr>
        <xdr:cNvPr id="123" name="Flèche vers le bas 122"/>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64</xdr:row>
      <xdr:rowOff>313765</xdr:rowOff>
    </xdr:from>
    <xdr:to>
      <xdr:col>0</xdr:col>
      <xdr:colOff>1165413</xdr:colOff>
      <xdr:row>65</xdr:row>
      <xdr:rowOff>44824</xdr:rowOff>
    </xdr:to>
    <xdr:sp macro="" textlink="">
      <xdr:nvSpPr>
        <xdr:cNvPr id="124" name="Flèche vers le bas 123"/>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65</xdr:row>
      <xdr:rowOff>313765</xdr:rowOff>
    </xdr:from>
    <xdr:to>
      <xdr:col>0</xdr:col>
      <xdr:colOff>1165413</xdr:colOff>
      <xdr:row>66</xdr:row>
      <xdr:rowOff>44824</xdr:rowOff>
    </xdr:to>
    <xdr:sp macro="" textlink="">
      <xdr:nvSpPr>
        <xdr:cNvPr id="125" name="Flèche vers le bas 124"/>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65</xdr:row>
      <xdr:rowOff>313765</xdr:rowOff>
    </xdr:from>
    <xdr:to>
      <xdr:col>0</xdr:col>
      <xdr:colOff>1165413</xdr:colOff>
      <xdr:row>66</xdr:row>
      <xdr:rowOff>44824</xdr:rowOff>
    </xdr:to>
    <xdr:sp macro="" textlink="">
      <xdr:nvSpPr>
        <xdr:cNvPr id="126" name="Flèche vers le bas 125"/>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66</xdr:row>
      <xdr:rowOff>313765</xdr:rowOff>
    </xdr:from>
    <xdr:to>
      <xdr:col>0</xdr:col>
      <xdr:colOff>1165413</xdr:colOff>
      <xdr:row>67</xdr:row>
      <xdr:rowOff>44824</xdr:rowOff>
    </xdr:to>
    <xdr:sp macro="" textlink="">
      <xdr:nvSpPr>
        <xdr:cNvPr id="127" name="Flèche vers le bas 126"/>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66</xdr:row>
      <xdr:rowOff>313765</xdr:rowOff>
    </xdr:from>
    <xdr:to>
      <xdr:col>0</xdr:col>
      <xdr:colOff>1165413</xdr:colOff>
      <xdr:row>67</xdr:row>
      <xdr:rowOff>44824</xdr:rowOff>
    </xdr:to>
    <xdr:sp macro="" textlink="">
      <xdr:nvSpPr>
        <xdr:cNvPr id="128" name="Flèche vers le bas 127"/>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67</xdr:row>
      <xdr:rowOff>313765</xdr:rowOff>
    </xdr:from>
    <xdr:to>
      <xdr:col>0</xdr:col>
      <xdr:colOff>1165413</xdr:colOff>
      <xdr:row>68</xdr:row>
      <xdr:rowOff>44824</xdr:rowOff>
    </xdr:to>
    <xdr:sp macro="" textlink="">
      <xdr:nvSpPr>
        <xdr:cNvPr id="129" name="Flèche vers le bas 128"/>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67</xdr:row>
      <xdr:rowOff>313765</xdr:rowOff>
    </xdr:from>
    <xdr:to>
      <xdr:col>0</xdr:col>
      <xdr:colOff>1165413</xdr:colOff>
      <xdr:row>68</xdr:row>
      <xdr:rowOff>44824</xdr:rowOff>
    </xdr:to>
    <xdr:sp macro="" textlink="">
      <xdr:nvSpPr>
        <xdr:cNvPr id="130" name="Flèche vers le bas 129"/>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68</xdr:row>
      <xdr:rowOff>313765</xdr:rowOff>
    </xdr:from>
    <xdr:to>
      <xdr:col>0</xdr:col>
      <xdr:colOff>1165413</xdr:colOff>
      <xdr:row>69</xdr:row>
      <xdr:rowOff>44824</xdr:rowOff>
    </xdr:to>
    <xdr:sp macro="" textlink="">
      <xdr:nvSpPr>
        <xdr:cNvPr id="131" name="Flèche vers le bas 130"/>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68</xdr:row>
      <xdr:rowOff>313765</xdr:rowOff>
    </xdr:from>
    <xdr:to>
      <xdr:col>0</xdr:col>
      <xdr:colOff>1165413</xdr:colOff>
      <xdr:row>69</xdr:row>
      <xdr:rowOff>44824</xdr:rowOff>
    </xdr:to>
    <xdr:sp macro="" textlink="">
      <xdr:nvSpPr>
        <xdr:cNvPr id="132" name="Flèche vers le bas 131"/>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69</xdr:row>
      <xdr:rowOff>313765</xdr:rowOff>
    </xdr:from>
    <xdr:to>
      <xdr:col>0</xdr:col>
      <xdr:colOff>1165413</xdr:colOff>
      <xdr:row>70</xdr:row>
      <xdr:rowOff>44824</xdr:rowOff>
    </xdr:to>
    <xdr:sp macro="" textlink="">
      <xdr:nvSpPr>
        <xdr:cNvPr id="133" name="Flèche vers le bas 132"/>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69</xdr:row>
      <xdr:rowOff>313765</xdr:rowOff>
    </xdr:from>
    <xdr:to>
      <xdr:col>0</xdr:col>
      <xdr:colOff>1165413</xdr:colOff>
      <xdr:row>70</xdr:row>
      <xdr:rowOff>44824</xdr:rowOff>
    </xdr:to>
    <xdr:sp macro="" textlink="">
      <xdr:nvSpPr>
        <xdr:cNvPr id="134" name="Flèche vers le bas 133"/>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70</xdr:row>
      <xdr:rowOff>313765</xdr:rowOff>
    </xdr:from>
    <xdr:to>
      <xdr:col>0</xdr:col>
      <xdr:colOff>1165413</xdr:colOff>
      <xdr:row>71</xdr:row>
      <xdr:rowOff>44824</xdr:rowOff>
    </xdr:to>
    <xdr:sp macro="" textlink="">
      <xdr:nvSpPr>
        <xdr:cNvPr id="135" name="Flèche vers le bas 134"/>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70</xdr:row>
      <xdr:rowOff>313765</xdr:rowOff>
    </xdr:from>
    <xdr:to>
      <xdr:col>0</xdr:col>
      <xdr:colOff>1165413</xdr:colOff>
      <xdr:row>71</xdr:row>
      <xdr:rowOff>44824</xdr:rowOff>
    </xdr:to>
    <xdr:sp macro="" textlink="">
      <xdr:nvSpPr>
        <xdr:cNvPr id="136" name="Flèche vers le bas 135"/>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71</xdr:row>
      <xdr:rowOff>313765</xdr:rowOff>
    </xdr:from>
    <xdr:to>
      <xdr:col>0</xdr:col>
      <xdr:colOff>1165413</xdr:colOff>
      <xdr:row>72</xdr:row>
      <xdr:rowOff>44824</xdr:rowOff>
    </xdr:to>
    <xdr:sp macro="" textlink="">
      <xdr:nvSpPr>
        <xdr:cNvPr id="137" name="Flèche vers le bas 136"/>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71</xdr:row>
      <xdr:rowOff>313765</xdr:rowOff>
    </xdr:from>
    <xdr:to>
      <xdr:col>0</xdr:col>
      <xdr:colOff>1165413</xdr:colOff>
      <xdr:row>72</xdr:row>
      <xdr:rowOff>44824</xdr:rowOff>
    </xdr:to>
    <xdr:sp macro="" textlink="">
      <xdr:nvSpPr>
        <xdr:cNvPr id="138" name="Flèche vers le bas 137"/>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72</xdr:row>
      <xdr:rowOff>313765</xdr:rowOff>
    </xdr:from>
    <xdr:to>
      <xdr:col>0</xdr:col>
      <xdr:colOff>1165413</xdr:colOff>
      <xdr:row>73</xdr:row>
      <xdr:rowOff>44824</xdr:rowOff>
    </xdr:to>
    <xdr:sp macro="" textlink="">
      <xdr:nvSpPr>
        <xdr:cNvPr id="139" name="Flèche vers le bas 138"/>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72</xdr:row>
      <xdr:rowOff>313765</xdr:rowOff>
    </xdr:from>
    <xdr:to>
      <xdr:col>0</xdr:col>
      <xdr:colOff>1165413</xdr:colOff>
      <xdr:row>73</xdr:row>
      <xdr:rowOff>44824</xdr:rowOff>
    </xdr:to>
    <xdr:sp macro="" textlink="">
      <xdr:nvSpPr>
        <xdr:cNvPr id="140" name="Flèche vers le bas 139"/>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73</xdr:row>
      <xdr:rowOff>313765</xdr:rowOff>
    </xdr:from>
    <xdr:to>
      <xdr:col>0</xdr:col>
      <xdr:colOff>1165413</xdr:colOff>
      <xdr:row>74</xdr:row>
      <xdr:rowOff>44824</xdr:rowOff>
    </xdr:to>
    <xdr:sp macro="" textlink="">
      <xdr:nvSpPr>
        <xdr:cNvPr id="141" name="Flèche vers le bas 140"/>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73</xdr:row>
      <xdr:rowOff>313765</xdr:rowOff>
    </xdr:from>
    <xdr:to>
      <xdr:col>0</xdr:col>
      <xdr:colOff>1165413</xdr:colOff>
      <xdr:row>74</xdr:row>
      <xdr:rowOff>44824</xdr:rowOff>
    </xdr:to>
    <xdr:sp macro="" textlink="">
      <xdr:nvSpPr>
        <xdr:cNvPr id="142" name="Flèche vers le bas 141"/>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74</xdr:row>
      <xdr:rowOff>313765</xdr:rowOff>
    </xdr:from>
    <xdr:to>
      <xdr:col>0</xdr:col>
      <xdr:colOff>1165413</xdr:colOff>
      <xdr:row>75</xdr:row>
      <xdr:rowOff>44824</xdr:rowOff>
    </xdr:to>
    <xdr:sp macro="" textlink="">
      <xdr:nvSpPr>
        <xdr:cNvPr id="143" name="Flèche vers le bas 142"/>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74</xdr:row>
      <xdr:rowOff>313765</xdr:rowOff>
    </xdr:from>
    <xdr:to>
      <xdr:col>0</xdr:col>
      <xdr:colOff>1165413</xdr:colOff>
      <xdr:row>75</xdr:row>
      <xdr:rowOff>44824</xdr:rowOff>
    </xdr:to>
    <xdr:sp macro="" textlink="">
      <xdr:nvSpPr>
        <xdr:cNvPr id="144" name="Flèche vers le bas 143"/>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75</xdr:row>
      <xdr:rowOff>313765</xdr:rowOff>
    </xdr:from>
    <xdr:to>
      <xdr:col>0</xdr:col>
      <xdr:colOff>1165413</xdr:colOff>
      <xdr:row>76</xdr:row>
      <xdr:rowOff>44824</xdr:rowOff>
    </xdr:to>
    <xdr:sp macro="" textlink="">
      <xdr:nvSpPr>
        <xdr:cNvPr id="145" name="Flèche vers le bas 144"/>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75</xdr:row>
      <xdr:rowOff>313765</xdr:rowOff>
    </xdr:from>
    <xdr:to>
      <xdr:col>0</xdr:col>
      <xdr:colOff>1165413</xdr:colOff>
      <xdr:row>76</xdr:row>
      <xdr:rowOff>44824</xdr:rowOff>
    </xdr:to>
    <xdr:sp macro="" textlink="">
      <xdr:nvSpPr>
        <xdr:cNvPr id="146" name="Flèche vers le bas 145"/>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76</xdr:row>
      <xdr:rowOff>313765</xdr:rowOff>
    </xdr:from>
    <xdr:to>
      <xdr:col>0</xdr:col>
      <xdr:colOff>1165413</xdr:colOff>
      <xdr:row>77</xdr:row>
      <xdr:rowOff>44824</xdr:rowOff>
    </xdr:to>
    <xdr:sp macro="" textlink="">
      <xdr:nvSpPr>
        <xdr:cNvPr id="147" name="Flèche vers le bas 146"/>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76</xdr:row>
      <xdr:rowOff>313765</xdr:rowOff>
    </xdr:from>
    <xdr:to>
      <xdr:col>0</xdr:col>
      <xdr:colOff>1165413</xdr:colOff>
      <xdr:row>77</xdr:row>
      <xdr:rowOff>44824</xdr:rowOff>
    </xdr:to>
    <xdr:sp macro="" textlink="">
      <xdr:nvSpPr>
        <xdr:cNvPr id="148" name="Flèche vers le bas 147"/>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77</xdr:row>
      <xdr:rowOff>313765</xdr:rowOff>
    </xdr:from>
    <xdr:to>
      <xdr:col>0</xdr:col>
      <xdr:colOff>1165413</xdr:colOff>
      <xdr:row>78</xdr:row>
      <xdr:rowOff>44824</xdr:rowOff>
    </xdr:to>
    <xdr:sp macro="" textlink="">
      <xdr:nvSpPr>
        <xdr:cNvPr id="149" name="Flèche vers le bas 148"/>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77</xdr:row>
      <xdr:rowOff>313765</xdr:rowOff>
    </xdr:from>
    <xdr:to>
      <xdr:col>0</xdr:col>
      <xdr:colOff>1165413</xdr:colOff>
      <xdr:row>78</xdr:row>
      <xdr:rowOff>44824</xdr:rowOff>
    </xdr:to>
    <xdr:sp macro="" textlink="">
      <xdr:nvSpPr>
        <xdr:cNvPr id="150" name="Flèche vers le bas 149"/>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78</xdr:row>
      <xdr:rowOff>313765</xdr:rowOff>
    </xdr:from>
    <xdr:to>
      <xdr:col>0</xdr:col>
      <xdr:colOff>1165413</xdr:colOff>
      <xdr:row>79</xdr:row>
      <xdr:rowOff>44824</xdr:rowOff>
    </xdr:to>
    <xdr:sp macro="" textlink="">
      <xdr:nvSpPr>
        <xdr:cNvPr id="151" name="Flèche vers le bas 150"/>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78</xdr:row>
      <xdr:rowOff>313765</xdr:rowOff>
    </xdr:from>
    <xdr:to>
      <xdr:col>0</xdr:col>
      <xdr:colOff>1165413</xdr:colOff>
      <xdr:row>79</xdr:row>
      <xdr:rowOff>44824</xdr:rowOff>
    </xdr:to>
    <xdr:sp macro="" textlink="">
      <xdr:nvSpPr>
        <xdr:cNvPr id="152" name="Flèche vers le bas 151"/>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79</xdr:row>
      <xdr:rowOff>313765</xdr:rowOff>
    </xdr:from>
    <xdr:to>
      <xdr:col>0</xdr:col>
      <xdr:colOff>1165413</xdr:colOff>
      <xdr:row>80</xdr:row>
      <xdr:rowOff>44824</xdr:rowOff>
    </xdr:to>
    <xdr:sp macro="" textlink="">
      <xdr:nvSpPr>
        <xdr:cNvPr id="153" name="Flèche vers le bas 152"/>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79</xdr:row>
      <xdr:rowOff>313765</xdr:rowOff>
    </xdr:from>
    <xdr:to>
      <xdr:col>0</xdr:col>
      <xdr:colOff>1165413</xdr:colOff>
      <xdr:row>80</xdr:row>
      <xdr:rowOff>44824</xdr:rowOff>
    </xdr:to>
    <xdr:sp macro="" textlink="">
      <xdr:nvSpPr>
        <xdr:cNvPr id="154" name="Flèche vers le bas 153"/>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80</xdr:row>
      <xdr:rowOff>313765</xdr:rowOff>
    </xdr:from>
    <xdr:to>
      <xdr:col>0</xdr:col>
      <xdr:colOff>1165413</xdr:colOff>
      <xdr:row>81</xdr:row>
      <xdr:rowOff>44824</xdr:rowOff>
    </xdr:to>
    <xdr:sp macro="" textlink="">
      <xdr:nvSpPr>
        <xdr:cNvPr id="155" name="Flèche vers le bas 154"/>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80</xdr:row>
      <xdr:rowOff>313765</xdr:rowOff>
    </xdr:from>
    <xdr:to>
      <xdr:col>0</xdr:col>
      <xdr:colOff>1165413</xdr:colOff>
      <xdr:row>81</xdr:row>
      <xdr:rowOff>44824</xdr:rowOff>
    </xdr:to>
    <xdr:sp macro="" textlink="">
      <xdr:nvSpPr>
        <xdr:cNvPr id="156" name="Flèche vers le bas 155"/>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81</xdr:row>
      <xdr:rowOff>313765</xdr:rowOff>
    </xdr:from>
    <xdr:to>
      <xdr:col>0</xdr:col>
      <xdr:colOff>1165413</xdr:colOff>
      <xdr:row>82</xdr:row>
      <xdr:rowOff>44824</xdr:rowOff>
    </xdr:to>
    <xdr:sp macro="" textlink="">
      <xdr:nvSpPr>
        <xdr:cNvPr id="157" name="Flèche vers le bas 156"/>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81</xdr:row>
      <xdr:rowOff>313765</xdr:rowOff>
    </xdr:from>
    <xdr:to>
      <xdr:col>0</xdr:col>
      <xdr:colOff>1165413</xdr:colOff>
      <xdr:row>82</xdr:row>
      <xdr:rowOff>44824</xdr:rowOff>
    </xdr:to>
    <xdr:sp macro="" textlink="">
      <xdr:nvSpPr>
        <xdr:cNvPr id="158" name="Flèche vers le bas 157"/>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82</xdr:row>
      <xdr:rowOff>313765</xdr:rowOff>
    </xdr:from>
    <xdr:to>
      <xdr:col>0</xdr:col>
      <xdr:colOff>1165413</xdr:colOff>
      <xdr:row>83</xdr:row>
      <xdr:rowOff>44824</xdr:rowOff>
    </xdr:to>
    <xdr:sp macro="" textlink="">
      <xdr:nvSpPr>
        <xdr:cNvPr id="159" name="Flèche vers le bas 158"/>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82</xdr:row>
      <xdr:rowOff>313765</xdr:rowOff>
    </xdr:from>
    <xdr:to>
      <xdr:col>0</xdr:col>
      <xdr:colOff>1165413</xdr:colOff>
      <xdr:row>83</xdr:row>
      <xdr:rowOff>44824</xdr:rowOff>
    </xdr:to>
    <xdr:sp macro="" textlink="">
      <xdr:nvSpPr>
        <xdr:cNvPr id="160" name="Flèche vers le bas 159"/>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83</xdr:row>
      <xdr:rowOff>313765</xdr:rowOff>
    </xdr:from>
    <xdr:to>
      <xdr:col>0</xdr:col>
      <xdr:colOff>1165413</xdr:colOff>
      <xdr:row>84</xdr:row>
      <xdr:rowOff>44824</xdr:rowOff>
    </xdr:to>
    <xdr:sp macro="" textlink="">
      <xdr:nvSpPr>
        <xdr:cNvPr id="161" name="Flèche vers le bas 160"/>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83</xdr:row>
      <xdr:rowOff>313765</xdr:rowOff>
    </xdr:from>
    <xdr:to>
      <xdr:col>0</xdr:col>
      <xdr:colOff>1165413</xdr:colOff>
      <xdr:row>84</xdr:row>
      <xdr:rowOff>44824</xdr:rowOff>
    </xdr:to>
    <xdr:sp macro="" textlink="">
      <xdr:nvSpPr>
        <xdr:cNvPr id="162" name="Flèche vers le bas 161"/>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84</xdr:row>
      <xdr:rowOff>313765</xdr:rowOff>
    </xdr:from>
    <xdr:to>
      <xdr:col>0</xdr:col>
      <xdr:colOff>1165413</xdr:colOff>
      <xdr:row>85</xdr:row>
      <xdr:rowOff>44824</xdr:rowOff>
    </xdr:to>
    <xdr:sp macro="" textlink="">
      <xdr:nvSpPr>
        <xdr:cNvPr id="163" name="Flèche vers le bas 162"/>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84</xdr:row>
      <xdr:rowOff>313765</xdr:rowOff>
    </xdr:from>
    <xdr:to>
      <xdr:col>0</xdr:col>
      <xdr:colOff>1165413</xdr:colOff>
      <xdr:row>85</xdr:row>
      <xdr:rowOff>44824</xdr:rowOff>
    </xdr:to>
    <xdr:sp macro="" textlink="">
      <xdr:nvSpPr>
        <xdr:cNvPr id="164" name="Flèche vers le bas 163"/>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85</xdr:row>
      <xdr:rowOff>313765</xdr:rowOff>
    </xdr:from>
    <xdr:to>
      <xdr:col>0</xdr:col>
      <xdr:colOff>1165413</xdr:colOff>
      <xdr:row>86</xdr:row>
      <xdr:rowOff>44824</xdr:rowOff>
    </xdr:to>
    <xdr:sp macro="" textlink="">
      <xdr:nvSpPr>
        <xdr:cNvPr id="165" name="Flèche vers le bas 164"/>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85</xdr:row>
      <xdr:rowOff>313765</xdr:rowOff>
    </xdr:from>
    <xdr:to>
      <xdr:col>0</xdr:col>
      <xdr:colOff>1165413</xdr:colOff>
      <xdr:row>86</xdr:row>
      <xdr:rowOff>44824</xdr:rowOff>
    </xdr:to>
    <xdr:sp macro="" textlink="">
      <xdr:nvSpPr>
        <xdr:cNvPr id="166" name="Flèche vers le bas 165"/>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86</xdr:row>
      <xdr:rowOff>313765</xdr:rowOff>
    </xdr:from>
    <xdr:to>
      <xdr:col>0</xdr:col>
      <xdr:colOff>1165413</xdr:colOff>
      <xdr:row>87</xdr:row>
      <xdr:rowOff>44824</xdr:rowOff>
    </xdr:to>
    <xdr:sp macro="" textlink="">
      <xdr:nvSpPr>
        <xdr:cNvPr id="167" name="Flèche vers le bas 166"/>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86</xdr:row>
      <xdr:rowOff>313765</xdr:rowOff>
    </xdr:from>
    <xdr:to>
      <xdr:col>0</xdr:col>
      <xdr:colOff>1165413</xdr:colOff>
      <xdr:row>87</xdr:row>
      <xdr:rowOff>44824</xdr:rowOff>
    </xdr:to>
    <xdr:sp macro="" textlink="">
      <xdr:nvSpPr>
        <xdr:cNvPr id="168" name="Flèche vers le bas 167"/>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169" name="Flèche vers le bas 168"/>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170" name="Flèche vers le bas 169"/>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171" name="Flèche vers le bas 170"/>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172" name="Flèche vers le bas 171"/>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173" name="Flèche vers le bas 172"/>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174" name="Flèche vers le bas 173"/>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175" name="Flèche vers le bas 174"/>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176" name="Flèche vers le bas 175"/>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177" name="Flèche vers le bas 176"/>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178" name="Flèche vers le bas 177"/>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179" name="Flèche vers le bas 178"/>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180" name="Flèche vers le bas 179"/>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181" name="Flèche vers le bas 180"/>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182" name="Flèche vers le bas 181"/>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183" name="Flèche vers le bas 182"/>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184" name="Flèche vers le bas 183"/>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185" name="Flèche vers le bas 184"/>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186" name="Flèche vers le bas 185"/>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187" name="Flèche vers le bas 186"/>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188" name="Flèche vers le bas 187"/>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189" name="Flèche vers le bas 188"/>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190" name="Flèche vers le bas 189"/>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191" name="Flèche vers le bas 190"/>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192" name="Flèche vers le bas 191"/>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193" name="Flèche vers le bas 192"/>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194" name="Flèche vers le bas 193"/>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195" name="Flèche vers le bas 194"/>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196" name="Flèche vers le bas 195"/>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197" name="Flèche vers le bas 196"/>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198" name="Flèche vers le bas 197"/>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199" name="Flèche vers le bas 198"/>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200" name="Flèche vers le bas 199"/>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201" name="Flèche vers le bas 200"/>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202" name="Flèche vers le bas 201"/>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203" name="Flèche vers le bas 202"/>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204" name="Flèche vers le bas 203"/>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205" name="Flèche vers le bas 204"/>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206" name="Flèche vers le bas 205"/>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207" name="Flèche vers le bas 206"/>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208" name="Flèche vers le bas 207"/>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209" name="Flèche vers le bas 208"/>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210" name="Flèche vers le bas 209"/>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211" name="Flèche vers le bas 210"/>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212" name="Flèche vers le bas 211"/>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213" name="Flèche vers le bas 212"/>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214" name="Flèche vers le bas 213"/>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112</xdr:row>
      <xdr:rowOff>0</xdr:rowOff>
    </xdr:from>
    <xdr:to>
      <xdr:col>0</xdr:col>
      <xdr:colOff>1165413</xdr:colOff>
      <xdr:row>112</xdr:row>
      <xdr:rowOff>44824</xdr:rowOff>
    </xdr:to>
    <xdr:sp macro="" textlink="">
      <xdr:nvSpPr>
        <xdr:cNvPr id="217" name="Flèche vers le bas 216"/>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112</xdr:row>
      <xdr:rowOff>0</xdr:rowOff>
    </xdr:from>
    <xdr:to>
      <xdr:col>0</xdr:col>
      <xdr:colOff>1165413</xdr:colOff>
      <xdr:row>112</xdr:row>
      <xdr:rowOff>44824</xdr:rowOff>
    </xdr:to>
    <xdr:sp macro="" textlink="">
      <xdr:nvSpPr>
        <xdr:cNvPr id="218" name="Flèche vers le bas 217"/>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112</xdr:row>
      <xdr:rowOff>313765</xdr:rowOff>
    </xdr:from>
    <xdr:to>
      <xdr:col>0</xdr:col>
      <xdr:colOff>1165413</xdr:colOff>
      <xdr:row>113</xdr:row>
      <xdr:rowOff>44824</xdr:rowOff>
    </xdr:to>
    <xdr:sp macro="" textlink="">
      <xdr:nvSpPr>
        <xdr:cNvPr id="219" name="Flèche vers le bas 218"/>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112</xdr:row>
      <xdr:rowOff>313765</xdr:rowOff>
    </xdr:from>
    <xdr:to>
      <xdr:col>0</xdr:col>
      <xdr:colOff>1165413</xdr:colOff>
      <xdr:row>113</xdr:row>
      <xdr:rowOff>44824</xdr:rowOff>
    </xdr:to>
    <xdr:sp macro="" textlink="">
      <xdr:nvSpPr>
        <xdr:cNvPr id="220" name="Flèche vers le bas 219"/>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113</xdr:row>
      <xdr:rowOff>313765</xdr:rowOff>
    </xdr:from>
    <xdr:to>
      <xdr:col>0</xdr:col>
      <xdr:colOff>1165413</xdr:colOff>
      <xdr:row>114</xdr:row>
      <xdr:rowOff>44824</xdr:rowOff>
    </xdr:to>
    <xdr:sp macro="" textlink="">
      <xdr:nvSpPr>
        <xdr:cNvPr id="221" name="Flèche vers le bas 220"/>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113</xdr:row>
      <xdr:rowOff>313765</xdr:rowOff>
    </xdr:from>
    <xdr:to>
      <xdr:col>0</xdr:col>
      <xdr:colOff>1165413</xdr:colOff>
      <xdr:row>114</xdr:row>
      <xdr:rowOff>44824</xdr:rowOff>
    </xdr:to>
    <xdr:sp macro="" textlink="">
      <xdr:nvSpPr>
        <xdr:cNvPr id="222" name="Flèche vers le bas 221"/>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114</xdr:row>
      <xdr:rowOff>313765</xdr:rowOff>
    </xdr:from>
    <xdr:to>
      <xdr:col>0</xdr:col>
      <xdr:colOff>1165413</xdr:colOff>
      <xdr:row>115</xdr:row>
      <xdr:rowOff>44824</xdr:rowOff>
    </xdr:to>
    <xdr:sp macro="" textlink="">
      <xdr:nvSpPr>
        <xdr:cNvPr id="223" name="Flèche vers le bas 222"/>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114</xdr:row>
      <xdr:rowOff>313765</xdr:rowOff>
    </xdr:from>
    <xdr:to>
      <xdr:col>0</xdr:col>
      <xdr:colOff>1165413</xdr:colOff>
      <xdr:row>115</xdr:row>
      <xdr:rowOff>44824</xdr:rowOff>
    </xdr:to>
    <xdr:sp macro="" textlink="">
      <xdr:nvSpPr>
        <xdr:cNvPr id="224" name="Flèche vers le bas 223"/>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115</xdr:row>
      <xdr:rowOff>313765</xdr:rowOff>
    </xdr:from>
    <xdr:to>
      <xdr:col>0</xdr:col>
      <xdr:colOff>1165413</xdr:colOff>
      <xdr:row>116</xdr:row>
      <xdr:rowOff>44824</xdr:rowOff>
    </xdr:to>
    <xdr:sp macro="" textlink="">
      <xdr:nvSpPr>
        <xdr:cNvPr id="225" name="Flèche vers le bas 224"/>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115</xdr:row>
      <xdr:rowOff>313765</xdr:rowOff>
    </xdr:from>
    <xdr:to>
      <xdr:col>0</xdr:col>
      <xdr:colOff>1165413</xdr:colOff>
      <xdr:row>116</xdr:row>
      <xdr:rowOff>44824</xdr:rowOff>
    </xdr:to>
    <xdr:sp macro="" textlink="">
      <xdr:nvSpPr>
        <xdr:cNvPr id="226" name="Flèche vers le bas 225"/>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116</xdr:row>
      <xdr:rowOff>313765</xdr:rowOff>
    </xdr:from>
    <xdr:to>
      <xdr:col>0</xdr:col>
      <xdr:colOff>1165413</xdr:colOff>
      <xdr:row>117</xdr:row>
      <xdr:rowOff>44824</xdr:rowOff>
    </xdr:to>
    <xdr:sp macro="" textlink="">
      <xdr:nvSpPr>
        <xdr:cNvPr id="227" name="Flèche vers le bas 226"/>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116</xdr:row>
      <xdr:rowOff>313765</xdr:rowOff>
    </xdr:from>
    <xdr:to>
      <xdr:col>0</xdr:col>
      <xdr:colOff>1165413</xdr:colOff>
      <xdr:row>117</xdr:row>
      <xdr:rowOff>44824</xdr:rowOff>
    </xdr:to>
    <xdr:sp macro="" textlink="">
      <xdr:nvSpPr>
        <xdr:cNvPr id="228" name="Flèche vers le bas 227"/>
        <xdr:cNvSpPr/>
      </xdr:nvSpPr>
      <xdr:spPr>
        <a:xfrm>
          <a:off x="1019737" y="694765"/>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117</xdr:row>
      <xdr:rowOff>313765</xdr:rowOff>
    </xdr:from>
    <xdr:to>
      <xdr:col>0</xdr:col>
      <xdr:colOff>1165413</xdr:colOff>
      <xdr:row>118</xdr:row>
      <xdr:rowOff>44824</xdr:rowOff>
    </xdr:to>
    <xdr:sp macro="" textlink="">
      <xdr:nvSpPr>
        <xdr:cNvPr id="229" name="Flèche vers le bas 228"/>
        <xdr:cNvSpPr/>
      </xdr:nvSpPr>
      <xdr:spPr>
        <a:xfrm>
          <a:off x="1019737" y="1019976"/>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707572</xdr:colOff>
      <xdr:row>8</xdr:row>
      <xdr:rowOff>81643</xdr:rowOff>
    </xdr:from>
    <xdr:to>
      <xdr:col>15</xdr:col>
      <xdr:colOff>752394</xdr:colOff>
      <xdr:row>12</xdr:row>
      <xdr:rowOff>69055</xdr:rowOff>
    </xdr:to>
    <xdr:sp macro="[0]!MiseBDDPOO" textlink="">
      <xdr:nvSpPr>
        <xdr:cNvPr id="230" name="ZoneTexte 229"/>
        <xdr:cNvSpPr txBox="1"/>
      </xdr:nvSpPr>
      <xdr:spPr>
        <a:xfrm>
          <a:off x="17607643" y="1102179"/>
          <a:ext cx="3419394" cy="749412"/>
        </a:xfrm>
        <a:prstGeom prst="rect">
          <a:avLst/>
        </a:prstGeom>
        <a:solidFill>
          <a:schemeClr val="lt1"/>
        </a:solidFill>
        <a:ln w="25400" cmpd="sng">
          <a:noFill/>
        </a:ln>
        <a:scene3d>
          <a:camera prst="orthographicFront"/>
          <a:lightRig rig="threePt" dir="t"/>
        </a:scene3d>
        <a:sp3d>
          <a:bevelT w="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1"/>
            <a:t>MACRO</a:t>
          </a:r>
        </a:p>
        <a:p>
          <a:pPr algn="ctr"/>
          <a:r>
            <a:rPr lang="fr-FR" sz="1100" b="1"/>
            <a:t>Generer BDD</a:t>
          </a:r>
        </a:p>
      </xdr:txBody>
    </xdr:sp>
    <xdr:clientData/>
  </xdr:twoCellAnchor>
  <xdr:twoCellAnchor>
    <xdr:from>
      <xdr:col>0</xdr:col>
      <xdr:colOff>1019737</xdr:colOff>
      <xdr:row>7</xdr:row>
      <xdr:rowOff>313765</xdr:rowOff>
    </xdr:from>
    <xdr:to>
      <xdr:col>0</xdr:col>
      <xdr:colOff>1165413</xdr:colOff>
      <xdr:row>8</xdr:row>
      <xdr:rowOff>44824</xdr:rowOff>
    </xdr:to>
    <xdr:sp macro="" textlink="">
      <xdr:nvSpPr>
        <xdr:cNvPr id="231" name="Flèche vers le bas 230"/>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xdr:row>
      <xdr:rowOff>313765</xdr:rowOff>
    </xdr:from>
    <xdr:to>
      <xdr:col>0</xdr:col>
      <xdr:colOff>1165413</xdr:colOff>
      <xdr:row>9</xdr:row>
      <xdr:rowOff>44824</xdr:rowOff>
    </xdr:to>
    <xdr:sp macro="" textlink="">
      <xdr:nvSpPr>
        <xdr:cNvPr id="232" name="Flèche vers le bas 231"/>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xdr:row>
      <xdr:rowOff>313765</xdr:rowOff>
    </xdr:from>
    <xdr:to>
      <xdr:col>0</xdr:col>
      <xdr:colOff>1165413</xdr:colOff>
      <xdr:row>9</xdr:row>
      <xdr:rowOff>44824</xdr:rowOff>
    </xdr:to>
    <xdr:sp macro="" textlink="">
      <xdr:nvSpPr>
        <xdr:cNvPr id="233" name="Flèche vers le bas 232"/>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xdr:row>
      <xdr:rowOff>313765</xdr:rowOff>
    </xdr:from>
    <xdr:to>
      <xdr:col>0</xdr:col>
      <xdr:colOff>1165413</xdr:colOff>
      <xdr:row>10</xdr:row>
      <xdr:rowOff>44824</xdr:rowOff>
    </xdr:to>
    <xdr:sp macro="" textlink="">
      <xdr:nvSpPr>
        <xdr:cNvPr id="234" name="Flèche vers le bas 233"/>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xdr:row>
      <xdr:rowOff>313765</xdr:rowOff>
    </xdr:from>
    <xdr:to>
      <xdr:col>0</xdr:col>
      <xdr:colOff>1165413</xdr:colOff>
      <xdr:row>10</xdr:row>
      <xdr:rowOff>44824</xdr:rowOff>
    </xdr:to>
    <xdr:sp macro="" textlink="">
      <xdr:nvSpPr>
        <xdr:cNvPr id="235" name="Flèche vers le bas 234"/>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xdr:row>
      <xdr:rowOff>313765</xdr:rowOff>
    </xdr:from>
    <xdr:to>
      <xdr:col>0</xdr:col>
      <xdr:colOff>1165413</xdr:colOff>
      <xdr:row>10</xdr:row>
      <xdr:rowOff>44824</xdr:rowOff>
    </xdr:to>
    <xdr:sp macro="" textlink="">
      <xdr:nvSpPr>
        <xdr:cNvPr id="236" name="Flèche vers le bas 235"/>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237" name="Flèche vers le bas 236"/>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238" name="Flèche vers le bas 237"/>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239" name="Flèche vers le bas 238"/>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240" name="Flèche vers le bas 239"/>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241" name="Flèche vers le bas 240"/>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242" name="Flèche vers le bas 241"/>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243" name="Flèche vers le bas 242"/>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244" name="Flèche vers le bas 243"/>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245" name="Flèche vers le bas 244"/>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246" name="Flèche vers le bas 245"/>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247" name="Flèche vers le bas 246"/>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248" name="Flèche vers le bas 247"/>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249" name="Flèche vers le bas 248"/>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250" name="Flèche vers le bas 249"/>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251" name="Flèche vers le bas 250"/>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252" name="Flèche vers le bas 251"/>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253" name="Flèche vers le bas 252"/>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254" name="Flèche vers le bas 253"/>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255" name="Flèche vers le bas 254"/>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256" name="Flèche vers le bas 255"/>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257" name="Flèche vers le bas 256"/>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258" name="Flèche vers le bas 257"/>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259" name="Flèche vers le bas 258"/>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260" name="Flèche vers le bas 259"/>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261" name="Flèche vers le bas 260"/>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262" name="Flèche vers le bas 261"/>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263" name="Flèche vers le bas 262"/>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264" name="Flèche vers le bas 263"/>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265" name="Flèche vers le bas 264"/>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266" name="Flèche vers le bas 265"/>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267" name="Flèche vers le bas 266"/>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268" name="Flèche vers le bas 267"/>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269" name="Flèche vers le bas 268"/>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270" name="Flèche vers le bas 269"/>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271" name="Flèche vers le bas 270"/>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272" name="Flèche vers le bas 271"/>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273" name="Flèche vers le bas 272"/>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274" name="Flèche vers le bas 273"/>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275" name="Flèche vers le bas 274"/>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276" name="Flèche vers le bas 275"/>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277" name="Flèche vers le bas 276"/>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278" name="Flèche vers le bas 277"/>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279" name="Flèche vers le bas 278"/>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280" name="Flèche vers le bas 279"/>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281" name="Flèche vers le bas 280"/>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282" name="Flèche vers le bas 281"/>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283" name="Flèche vers le bas 282"/>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284" name="Flèche vers le bas 283"/>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285" name="Flèche vers le bas 284"/>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286" name="Flèche vers le bas 285"/>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287" name="Flèche vers le bas 286"/>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288" name="Flèche vers le bas 287"/>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289" name="Flèche vers le bas 288"/>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290" name="Flèche vers le bas 289"/>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291" name="Flèche vers le bas 290"/>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292" name="Flèche vers le bas 291"/>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293" name="Flèche vers le bas 292"/>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294" name="Flèche vers le bas 293"/>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295" name="Flèche vers le bas 294"/>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296" name="Flèche vers le bas 295"/>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297" name="Flèche vers le bas 296"/>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298" name="Flèche vers le bas 297"/>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299" name="Flèche vers le bas 298"/>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300" name="Flèche vers le bas 299"/>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301" name="Flèche vers le bas 300"/>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302" name="Flèche vers le bas 301"/>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303" name="Flèche vers le bas 302"/>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304" name="Flèche vers le bas 303"/>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305" name="Flèche vers le bas 304"/>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306" name="Flèche vers le bas 305"/>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307" name="Flèche vers le bas 306"/>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308" name="Flèche vers le bas 307"/>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309" name="Flèche vers le bas 308"/>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310" name="Flèche vers le bas 309"/>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311" name="Flèche vers le bas 310"/>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312" name="Flèche vers le bas 311"/>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313" name="Flèche vers le bas 312"/>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314" name="Flèche vers le bas 313"/>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315" name="Flèche vers le bas 314"/>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316" name="Flèche vers le bas 315"/>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317" name="Flèche vers le bas 316"/>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318" name="Flèche vers le bas 317"/>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319" name="Flèche vers le bas 318"/>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320" name="Flèche vers le bas 319"/>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38</xdr:row>
      <xdr:rowOff>313765</xdr:rowOff>
    </xdr:from>
    <xdr:to>
      <xdr:col>0</xdr:col>
      <xdr:colOff>1165413</xdr:colOff>
      <xdr:row>39</xdr:row>
      <xdr:rowOff>44824</xdr:rowOff>
    </xdr:to>
    <xdr:sp macro="" textlink="">
      <xdr:nvSpPr>
        <xdr:cNvPr id="321" name="Flèche vers le bas 320"/>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38</xdr:row>
      <xdr:rowOff>313765</xdr:rowOff>
    </xdr:from>
    <xdr:to>
      <xdr:col>0</xdr:col>
      <xdr:colOff>1165413</xdr:colOff>
      <xdr:row>39</xdr:row>
      <xdr:rowOff>44824</xdr:rowOff>
    </xdr:to>
    <xdr:sp macro="" textlink="">
      <xdr:nvSpPr>
        <xdr:cNvPr id="322" name="Flèche vers le bas 321"/>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38</xdr:row>
      <xdr:rowOff>313765</xdr:rowOff>
    </xdr:from>
    <xdr:to>
      <xdr:col>0</xdr:col>
      <xdr:colOff>1165413</xdr:colOff>
      <xdr:row>39</xdr:row>
      <xdr:rowOff>44824</xdr:rowOff>
    </xdr:to>
    <xdr:sp macro="" textlink="">
      <xdr:nvSpPr>
        <xdr:cNvPr id="323" name="Flèche vers le bas 322"/>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39</xdr:row>
      <xdr:rowOff>313765</xdr:rowOff>
    </xdr:from>
    <xdr:to>
      <xdr:col>0</xdr:col>
      <xdr:colOff>1165413</xdr:colOff>
      <xdr:row>40</xdr:row>
      <xdr:rowOff>44824</xdr:rowOff>
    </xdr:to>
    <xdr:sp macro="" textlink="">
      <xdr:nvSpPr>
        <xdr:cNvPr id="324" name="Flèche vers le bas 323"/>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39</xdr:row>
      <xdr:rowOff>313765</xdr:rowOff>
    </xdr:from>
    <xdr:to>
      <xdr:col>0</xdr:col>
      <xdr:colOff>1165413</xdr:colOff>
      <xdr:row>40</xdr:row>
      <xdr:rowOff>44824</xdr:rowOff>
    </xdr:to>
    <xdr:sp macro="" textlink="">
      <xdr:nvSpPr>
        <xdr:cNvPr id="325" name="Flèche vers le bas 324"/>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39</xdr:row>
      <xdr:rowOff>313765</xdr:rowOff>
    </xdr:from>
    <xdr:to>
      <xdr:col>0</xdr:col>
      <xdr:colOff>1165413</xdr:colOff>
      <xdr:row>40</xdr:row>
      <xdr:rowOff>44824</xdr:rowOff>
    </xdr:to>
    <xdr:sp macro="" textlink="">
      <xdr:nvSpPr>
        <xdr:cNvPr id="326" name="Flèche vers le bas 325"/>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40</xdr:row>
      <xdr:rowOff>313765</xdr:rowOff>
    </xdr:from>
    <xdr:to>
      <xdr:col>0</xdr:col>
      <xdr:colOff>1165413</xdr:colOff>
      <xdr:row>41</xdr:row>
      <xdr:rowOff>44824</xdr:rowOff>
    </xdr:to>
    <xdr:sp macro="" textlink="">
      <xdr:nvSpPr>
        <xdr:cNvPr id="327" name="Flèche vers le bas 326"/>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40</xdr:row>
      <xdr:rowOff>313765</xdr:rowOff>
    </xdr:from>
    <xdr:to>
      <xdr:col>0</xdr:col>
      <xdr:colOff>1165413</xdr:colOff>
      <xdr:row>41</xdr:row>
      <xdr:rowOff>44824</xdr:rowOff>
    </xdr:to>
    <xdr:sp macro="" textlink="">
      <xdr:nvSpPr>
        <xdr:cNvPr id="328" name="Flèche vers le bas 327"/>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40</xdr:row>
      <xdr:rowOff>313765</xdr:rowOff>
    </xdr:from>
    <xdr:to>
      <xdr:col>0</xdr:col>
      <xdr:colOff>1165413</xdr:colOff>
      <xdr:row>41</xdr:row>
      <xdr:rowOff>44824</xdr:rowOff>
    </xdr:to>
    <xdr:sp macro="" textlink="">
      <xdr:nvSpPr>
        <xdr:cNvPr id="329" name="Flèche vers le bas 328"/>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41</xdr:row>
      <xdr:rowOff>313765</xdr:rowOff>
    </xdr:from>
    <xdr:to>
      <xdr:col>0</xdr:col>
      <xdr:colOff>1165413</xdr:colOff>
      <xdr:row>42</xdr:row>
      <xdr:rowOff>44824</xdr:rowOff>
    </xdr:to>
    <xdr:sp macro="" textlink="">
      <xdr:nvSpPr>
        <xdr:cNvPr id="330" name="Flèche vers le bas 329"/>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41</xdr:row>
      <xdr:rowOff>313765</xdr:rowOff>
    </xdr:from>
    <xdr:to>
      <xdr:col>0</xdr:col>
      <xdr:colOff>1165413</xdr:colOff>
      <xdr:row>42</xdr:row>
      <xdr:rowOff>44824</xdr:rowOff>
    </xdr:to>
    <xdr:sp macro="" textlink="">
      <xdr:nvSpPr>
        <xdr:cNvPr id="331" name="Flèche vers le bas 330"/>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41</xdr:row>
      <xdr:rowOff>313765</xdr:rowOff>
    </xdr:from>
    <xdr:to>
      <xdr:col>0</xdr:col>
      <xdr:colOff>1165413</xdr:colOff>
      <xdr:row>42</xdr:row>
      <xdr:rowOff>44824</xdr:rowOff>
    </xdr:to>
    <xdr:sp macro="" textlink="">
      <xdr:nvSpPr>
        <xdr:cNvPr id="332" name="Flèche vers le bas 331"/>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42</xdr:row>
      <xdr:rowOff>313765</xdr:rowOff>
    </xdr:from>
    <xdr:to>
      <xdr:col>0</xdr:col>
      <xdr:colOff>1165413</xdr:colOff>
      <xdr:row>43</xdr:row>
      <xdr:rowOff>44824</xdr:rowOff>
    </xdr:to>
    <xdr:sp macro="" textlink="">
      <xdr:nvSpPr>
        <xdr:cNvPr id="333" name="Flèche vers le bas 332"/>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42</xdr:row>
      <xdr:rowOff>313765</xdr:rowOff>
    </xdr:from>
    <xdr:to>
      <xdr:col>0</xdr:col>
      <xdr:colOff>1165413</xdr:colOff>
      <xdr:row>43</xdr:row>
      <xdr:rowOff>44824</xdr:rowOff>
    </xdr:to>
    <xdr:sp macro="" textlink="">
      <xdr:nvSpPr>
        <xdr:cNvPr id="334" name="Flèche vers le bas 333"/>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42</xdr:row>
      <xdr:rowOff>313765</xdr:rowOff>
    </xdr:from>
    <xdr:to>
      <xdr:col>0</xdr:col>
      <xdr:colOff>1165413</xdr:colOff>
      <xdr:row>43</xdr:row>
      <xdr:rowOff>44824</xdr:rowOff>
    </xdr:to>
    <xdr:sp macro="" textlink="">
      <xdr:nvSpPr>
        <xdr:cNvPr id="335" name="Flèche vers le bas 334"/>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43</xdr:row>
      <xdr:rowOff>313765</xdr:rowOff>
    </xdr:from>
    <xdr:to>
      <xdr:col>0</xdr:col>
      <xdr:colOff>1165413</xdr:colOff>
      <xdr:row>44</xdr:row>
      <xdr:rowOff>44824</xdr:rowOff>
    </xdr:to>
    <xdr:sp macro="" textlink="">
      <xdr:nvSpPr>
        <xdr:cNvPr id="336" name="Flèche vers le bas 335"/>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43</xdr:row>
      <xdr:rowOff>313765</xdr:rowOff>
    </xdr:from>
    <xdr:to>
      <xdr:col>0</xdr:col>
      <xdr:colOff>1165413</xdr:colOff>
      <xdr:row>44</xdr:row>
      <xdr:rowOff>44824</xdr:rowOff>
    </xdr:to>
    <xdr:sp macro="" textlink="">
      <xdr:nvSpPr>
        <xdr:cNvPr id="337" name="Flèche vers le bas 336"/>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43</xdr:row>
      <xdr:rowOff>313765</xdr:rowOff>
    </xdr:from>
    <xdr:to>
      <xdr:col>0</xdr:col>
      <xdr:colOff>1165413</xdr:colOff>
      <xdr:row>44</xdr:row>
      <xdr:rowOff>44824</xdr:rowOff>
    </xdr:to>
    <xdr:sp macro="" textlink="">
      <xdr:nvSpPr>
        <xdr:cNvPr id="338" name="Flèche vers le bas 337"/>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44</xdr:row>
      <xdr:rowOff>313765</xdr:rowOff>
    </xdr:from>
    <xdr:to>
      <xdr:col>0</xdr:col>
      <xdr:colOff>1165413</xdr:colOff>
      <xdr:row>45</xdr:row>
      <xdr:rowOff>44824</xdr:rowOff>
    </xdr:to>
    <xdr:sp macro="" textlink="">
      <xdr:nvSpPr>
        <xdr:cNvPr id="339" name="Flèche vers le bas 338"/>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44</xdr:row>
      <xdr:rowOff>313765</xdr:rowOff>
    </xdr:from>
    <xdr:to>
      <xdr:col>0</xdr:col>
      <xdr:colOff>1165413</xdr:colOff>
      <xdr:row>45</xdr:row>
      <xdr:rowOff>44824</xdr:rowOff>
    </xdr:to>
    <xdr:sp macro="" textlink="">
      <xdr:nvSpPr>
        <xdr:cNvPr id="340" name="Flèche vers le bas 339"/>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44</xdr:row>
      <xdr:rowOff>313765</xdr:rowOff>
    </xdr:from>
    <xdr:to>
      <xdr:col>0</xdr:col>
      <xdr:colOff>1165413</xdr:colOff>
      <xdr:row>45</xdr:row>
      <xdr:rowOff>44824</xdr:rowOff>
    </xdr:to>
    <xdr:sp macro="" textlink="">
      <xdr:nvSpPr>
        <xdr:cNvPr id="341" name="Flèche vers le bas 340"/>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45</xdr:row>
      <xdr:rowOff>313765</xdr:rowOff>
    </xdr:from>
    <xdr:to>
      <xdr:col>0</xdr:col>
      <xdr:colOff>1165413</xdr:colOff>
      <xdr:row>46</xdr:row>
      <xdr:rowOff>44824</xdr:rowOff>
    </xdr:to>
    <xdr:sp macro="" textlink="">
      <xdr:nvSpPr>
        <xdr:cNvPr id="342" name="Flèche vers le bas 341"/>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45</xdr:row>
      <xdr:rowOff>313765</xdr:rowOff>
    </xdr:from>
    <xdr:to>
      <xdr:col>0</xdr:col>
      <xdr:colOff>1165413</xdr:colOff>
      <xdr:row>46</xdr:row>
      <xdr:rowOff>44824</xdr:rowOff>
    </xdr:to>
    <xdr:sp macro="" textlink="">
      <xdr:nvSpPr>
        <xdr:cNvPr id="343" name="Flèche vers le bas 342"/>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45</xdr:row>
      <xdr:rowOff>313765</xdr:rowOff>
    </xdr:from>
    <xdr:to>
      <xdr:col>0</xdr:col>
      <xdr:colOff>1165413</xdr:colOff>
      <xdr:row>46</xdr:row>
      <xdr:rowOff>44824</xdr:rowOff>
    </xdr:to>
    <xdr:sp macro="" textlink="">
      <xdr:nvSpPr>
        <xdr:cNvPr id="344" name="Flèche vers le bas 343"/>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46</xdr:row>
      <xdr:rowOff>313765</xdr:rowOff>
    </xdr:from>
    <xdr:to>
      <xdr:col>0</xdr:col>
      <xdr:colOff>1165413</xdr:colOff>
      <xdr:row>47</xdr:row>
      <xdr:rowOff>44824</xdr:rowOff>
    </xdr:to>
    <xdr:sp macro="" textlink="">
      <xdr:nvSpPr>
        <xdr:cNvPr id="345" name="Flèche vers le bas 344"/>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46</xdr:row>
      <xdr:rowOff>313765</xdr:rowOff>
    </xdr:from>
    <xdr:to>
      <xdr:col>0</xdr:col>
      <xdr:colOff>1165413</xdr:colOff>
      <xdr:row>47</xdr:row>
      <xdr:rowOff>44824</xdr:rowOff>
    </xdr:to>
    <xdr:sp macro="" textlink="">
      <xdr:nvSpPr>
        <xdr:cNvPr id="346" name="Flèche vers le bas 345"/>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46</xdr:row>
      <xdr:rowOff>313765</xdr:rowOff>
    </xdr:from>
    <xdr:to>
      <xdr:col>0</xdr:col>
      <xdr:colOff>1165413</xdr:colOff>
      <xdr:row>47</xdr:row>
      <xdr:rowOff>44824</xdr:rowOff>
    </xdr:to>
    <xdr:sp macro="" textlink="">
      <xdr:nvSpPr>
        <xdr:cNvPr id="347" name="Flèche vers le bas 346"/>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47</xdr:row>
      <xdr:rowOff>313765</xdr:rowOff>
    </xdr:from>
    <xdr:to>
      <xdr:col>0</xdr:col>
      <xdr:colOff>1165413</xdr:colOff>
      <xdr:row>48</xdr:row>
      <xdr:rowOff>44824</xdr:rowOff>
    </xdr:to>
    <xdr:sp macro="" textlink="">
      <xdr:nvSpPr>
        <xdr:cNvPr id="348" name="Flèche vers le bas 347"/>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47</xdr:row>
      <xdr:rowOff>313765</xdr:rowOff>
    </xdr:from>
    <xdr:to>
      <xdr:col>0</xdr:col>
      <xdr:colOff>1165413</xdr:colOff>
      <xdr:row>48</xdr:row>
      <xdr:rowOff>44824</xdr:rowOff>
    </xdr:to>
    <xdr:sp macro="" textlink="">
      <xdr:nvSpPr>
        <xdr:cNvPr id="349" name="Flèche vers le bas 348"/>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47</xdr:row>
      <xdr:rowOff>313765</xdr:rowOff>
    </xdr:from>
    <xdr:to>
      <xdr:col>0</xdr:col>
      <xdr:colOff>1165413</xdr:colOff>
      <xdr:row>48</xdr:row>
      <xdr:rowOff>44824</xdr:rowOff>
    </xdr:to>
    <xdr:sp macro="" textlink="">
      <xdr:nvSpPr>
        <xdr:cNvPr id="350" name="Flèche vers le bas 349"/>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48</xdr:row>
      <xdr:rowOff>313765</xdr:rowOff>
    </xdr:from>
    <xdr:to>
      <xdr:col>0</xdr:col>
      <xdr:colOff>1165413</xdr:colOff>
      <xdr:row>49</xdr:row>
      <xdr:rowOff>44824</xdr:rowOff>
    </xdr:to>
    <xdr:sp macro="" textlink="">
      <xdr:nvSpPr>
        <xdr:cNvPr id="351" name="Flèche vers le bas 350"/>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48</xdr:row>
      <xdr:rowOff>313765</xdr:rowOff>
    </xdr:from>
    <xdr:to>
      <xdr:col>0</xdr:col>
      <xdr:colOff>1165413</xdr:colOff>
      <xdr:row>49</xdr:row>
      <xdr:rowOff>44824</xdr:rowOff>
    </xdr:to>
    <xdr:sp macro="" textlink="">
      <xdr:nvSpPr>
        <xdr:cNvPr id="352" name="Flèche vers le bas 351"/>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48</xdr:row>
      <xdr:rowOff>313765</xdr:rowOff>
    </xdr:from>
    <xdr:to>
      <xdr:col>0</xdr:col>
      <xdr:colOff>1165413</xdr:colOff>
      <xdr:row>49</xdr:row>
      <xdr:rowOff>44824</xdr:rowOff>
    </xdr:to>
    <xdr:sp macro="" textlink="">
      <xdr:nvSpPr>
        <xdr:cNvPr id="353" name="Flèche vers le bas 352"/>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49</xdr:row>
      <xdr:rowOff>313765</xdr:rowOff>
    </xdr:from>
    <xdr:to>
      <xdr:col>0</xdr:col>
      <xdr:colOff>1165413</xdr:colOff>
      <xdr:row>50</xdr:row>
      <xdr:rowOff>44824</xdr:rowOff>
    </xdr:to>
    <xdr:sp macro="" textlink="">
      <xdr:nvSpPr>
        <xdr:cNvPr id="354" name="Flèche vers le bas 353"/>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49</xdr:row>
      <xdr:rowOff>313765</xdr:rowOff>
    </xdr:from>
    <xdr:to>
      <xdr:col>0</xdr:col>
      <xdr:colOff>1165413</xdr:colOff>
      <xdr:row>50</xdr:row>
      <xdr:rowOff>44824</xdr:rowOff>
    </xdr:to>
    <xdr:sp macro="" textlink="">
      <xdr:nvSpPr>
        <xdr:cNvPr id="355" name="Flèche vers le bas 354"/>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49</xdr:row>
      <xdr:rowOff>313765</xdr:rowOff>
    </xdr:from>
    <xdr:to>
      <xdr:col>0</xdr:col>
      <xdr:colOff>1165413</xdr:colOff>
      <xdr:row>50</xdr:row>
      <xdr:rowOff>44824</xdr:rowOff>
    </xdr:to>
    <xdr:sp macro="" textlink="">
      <xdr:nvSpPr>
        <xdr:cNvPr id="356" name="Flèche vers le bas 355"/>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50</xdr:row>
      <xdr:rowOff>313765</xdr:rowOff>
    </xdr:from>
    <xdr:to>
      <xdr:col>0</xdr:col>
      <xdr:colOff>1165413</xdr:colOff>
      <xdr:row>51</xdr:row>
      <xdr:rowOff>44824</xdr:rowOff>
    </xdr:to>
    <xdr:sp macro="" textlink="">
      <xdr:nvSpPr>
        <xdr:cNvPr id="357" name="Flèche vers le bas 356"/>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50</xdr:row>
      <xdr:rowOff>313765</xdr:rowOff>
    </xdr:from>
    <xdr:to>
      <xdr:col>0</xdr:col>
      <xdr:colOff>1165413</xdr:colOff>
      <xdr:row>51</xdr:row>
      <xdr:rowOff>44824</xdr:rowOff>
    </xdr:to>
    <xdr:sp macro="" textlink="">
      <xdr:nvSpPr>
        <xdr:cNvPr id="358" name="Flèche vers le bas 357"/>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50</xdr:row>
      <xdr:rowOff>313765</xdr:rowOff>
    </xdr:from>
    <xdr:to>
      <xdr:col>0</xdr:col>
      <xdr:colOff>1165413</xdr:colOff>
      <xdr:row>51</xdr:row>
      <xdr:rowOff>44824</xdr:rowOff>
    </xdr:to>
    <xdr:sp macro="" textlink="">
      <xdr:nvSpPr>
        <xdr:cNvPr id="359" name="Flèche vers le bas 358"/>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51</xdr:row>
      <xdr:rowOff>313765</xdr:rowOff>
    </xdr:from>
    <xdr:to>
      <xdr:col>0</xdr:col>
      <xdr:colOff>1165413</xdr:colOff>
      <xdr:row>52</xdr:row>
      <xdr:rowOff>44824</xdr:rowOff>
    </xdr:to>
    <xdr:sp macro="" textlink="">
      <xdr:nvSpPr>
        <xdr:cNvPr id="360" name="Flèche vers le bas 359"/>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51</xdr:row>
      <xdr:rowOff>313765</xdr:rowOff>
    </xdr:from>
    <xdr:to>
      <xdr:col>0</xdr:col>
      <xdr:colOff>1165413</xdr:colOff>
      <xdr:row>52</xdr:row>
      <xdr:rowOff>44824</xdr:rowOff>
    </xdr:to>
    <xdr:sp macro="" textlink="">
      <xdr:nvSpPr>
        <xdr:cNvPr id="361" name="Flèche vers le bas 360"/>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51</xdr:row>
      <xdr:rowOff>313765</xdr:rowOff>
    </xdr:from>
    <xdr:to>
      <xdr:col>0</xdr:col>
      <xdr:colOff>1165413</xdr:colOff>
      <xdr:row>52</xdr:row>
      <xdr:rowOff>44824</xdr:rowOff>
    </xdr:to>
    <xdr:sp macro="" textlink="">
      <xdr:nvSpPr>
        <xdr:cNvPr id="362" name="Flèche vers le bas 361"/>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52</xdr:row>
      <xdr:rowOff>313765</xdr:rowOff>
    </xdr:from>
    <xdr:to>
      <xdr:col>0</xdr:col>
      <xdr:colOff>1165413</xdr:colOff>
      <xdr:row>53</xdr:row>
      <xdr:rowOff>44824</xdr:rowOff>
    </xdr:to>
    <xdr:sp macro="" textlink="">
      <xdr:nvSpPr>
        <xdr:cNvPr id="363" name="Flèche vers le bas 362"/>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52</xdr:row>
      <xdr:rowOff>313765</xdr:rowOff>
    </xdr:from>
    <xdr:to>
      <xdr:col>0</xdr:col>
      <xdr:colOff>1165413</xdr:colOff>
      <xdr:row>53</xdr:row>
      <xdr:rowOff>44824</xdr:rowOff>
    </xdr:to>
    <xdr:sp macro="" textlink="">
      <xdr:nvSpPr>
        <xdr:cNvPr id="364" name="Flèche vers le bas 363"/>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52</xdr:row>
      <xdr:rowOff>313765</xdr:rowOff>
    </xdr:from>
    <xdr:to>
      <xdr:col>0</xdr:col>
      <xdr:colOff>1165413</xdr:colOff>
      <xdr:row>53</xdr:row>
      <xdr:rowOff>44824</xdr:rowOff>
    </xdr:to>
    <xdr:sp macro="" textlink="">
      <xdr:nvSpPr>
        <xdr:cNvPr id="365" name="Flèche vers le bas 364"/>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53</xdr:row>
      <xdr:rowOff>313765</xdr:rowOff>
    </xdr:from>
    <xdr:to>
      <xdr:col>0</xdr:col>
      <xdr:colOff>1165413</xdr:colOff>
      <xdr:row>54</xdr:row>
      <xdr:rowOff>44824</xdr:rowOff>
    </xdr:to>
    <xdr:sp macro="" textlink="">
      <xdr:nvSpPr>
        <xdr:cNvPr id="366" name="Flèche vers le bas 365"/>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53</xdr:row>
      <xdr:rowOff>313765</xdr:rowOff>
    </xdr:from>
    <xdr:to>
      <xdr:col>0</xdr:col>
      <xdr:colOff>1165413</xdr:colOff>
      <xdr:row>54</xdr:row>
      <xdr:rowOff>44824</xdr:rowOff>
    </xdr:to>
    <xdr:sp macro="" textlink="">
      <xdr:nvSpPr>
        <xdr:cNvPr id="367" name="Flèche vers le bas 366"/>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53</xdr:row>
      <xdr:rowOff>313765</xdr:rowOff>
    </xdr:from>
    <xdr:to>
      <xdr:col>0</xdr:col>
      <xdr:colOff>1165413</xdr:colOff>
      <xdr:row>54</xdr:row>
      <xdr:rowOff>44824</xdr:rowOff>
    </xdr:to>
    <xdr:sp macro="" textlink="">
      <xdr:nvSpPr>
        <xdr:cNvPr id="368" name="Flèche vers le bas 367"/>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54</xdr:row>
      <xdr:rowOff>313765</xdr:rowOff>
    </xdr:from>
    <xdr:to>
      <xdr:col>0</xdr:col>
      <xdr:colOff>1165413</xdr:colOff>
      <xdr:row>55</xdr:row>
      <xdr:rowOff>44824</xdr:rowOff>
    </xdr:to>
    <xdr:sp macro="" textlink="">
      <xdr:nvSpPr>
        <xdr:cNvPr id="369" name="Flèche vers le bas 368"/>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54</xdr:row>
      <xdr:rowOff>313765</xdr:rowOff>
    </xdr:from>
    <xdr:to>
      <xdr:col>0</xdr:col>
      <xdr:colOff>1165413</xdr:colOff>
      <xdr:row>55</xdr:row>
      <xdr:rowOff>44824</xdr:rowOff>
    </xdr:to>
    <xdr:sp macro="" textlink="">
      <xdr:nvSpPr>
        <xdr:cNvPr id="370" name="Flèche vers le bas 369"/>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54</xdr:row>
      <xdr:rowOff>313765</xdr:rowOff>
    </xdr:from>
    <xdr:to>
      <xdr:col>0</xdr:col>
      <xdr:colOff>1165413</xdr:colOff>
      <xdr:row>55</xdr:row>
      <xdr:rowOff>44824</xdr:rowOff>
    </xdr:to>
    <xdr:sp macro="" textlink="">
      <xdr:nvSpPr>
        <xdr:cNvPr id="371" name="Flèche vers le bas 370"/>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55</xdr:row>
      <xdr:rowOff>313765</xdr:rowOff>
    </xdr:from>
    <xdr:to>
      <xdr:col>0</xdr:col>
      <xdr:colOff>1165413</xdr:colOff>
      <xdr:row>56</xdr:row>
      <xdr:rowOff>44824</xdr:rowOff>
    </xdr:to>
    <xdr:sp macro="" textlink="">
      <xdr:nvSpPr>
        <xdr:cNvPr id="372" name="Flèche vers le bas 371"/>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55</xdr:row>
      <xdr:rowOff>313765</xdr:rowOff>
    </xdr:from>
    <xdr:to>
      <xdr:col>0</xdr:col>
      <xdr:colOff>1165413</xdr:colOff>
      <xdr:row>56</xdr:row>
      <xdr:rowOff>44824</xdr:rowOff>
    </xdr:to>
    <xdr:sp macro="" textlink="">
      <xdr:nvSpPr>
        <xdr:cNvPr id="373" name="Flèche vers le bas 372"/>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55</xdr:row>
      <xdr:rowOff>313765</xdr:rowOff>
    </xdr:from>
    <xdr:to>
      <xdr:col>0</xdr:col>
      <xdr:colOff>1165413</xdr:colOff>
      <xdr:row>56</xdr:row>
      <xdr:rowOff>44824</xdr:rowOff>
    </xdr:to>
    <xdr:sp macro="" textlink="">
      <xdr:nvSpPr>
        <xdr:cNvPr id="374" name="Flèche vers le bas 373"/>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56</xdr:row>
      <xdr:rowOff>313765</xdr:rowOff>
    </xdr:from>
    <xdr:to>
      <xdr:col>0</xdr:col>
      <xdr:colOff>1165413</xdr:colOff>
      <xdr:row>57</xdr:row>
      <xdr:rowOff>44824</xdr:rowOff>
    </xdr:to>
    <xdr:sp macro="" textlink="">
      <xdr:nvSpPr>
        <xdr:cNvPr id="375" name="Flèche vers le bas 374"/>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56</xdr:row>
      <xdr:rowOff>313765</xdr:rowOff>
    </xdr:from>
    <xdr:to>
      <xdr:col>0</xdr:col>
      <xdr:colOff>1165413</xdr:colOff>
      <xdr:row>57</xdr:row>
      <xdr:rowOff>44824</xdr:rowOff>
    </xdr:to>
    <xdr:sp macro="" textlink="">
      <xdr:nvSpPr>
        <xdr:cNvPr id="376" name="Flèche vers le bas 375"/>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56</xdr:row>
      <xdr:rowOff>313765</xdr:rowOff>
    </xdr:from>
    <xdr:to>
      <xdr:col>0</xdr:col>
      <xdr:colOff>1165413</xdr:colOff>
      <xdr:row>57</xdr:row>
      <xdr:rowOff>44824</xdr:rowOff>
    </xdr:to>
    <xdr:sp macro="" textlink="">
      <xdr:nvSpPr>
        <xdr:cNvPr id="377" name="Flèche vers le bas 376"/>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57</xdr:row>
      <xdr:rowOff>313765</xdr:rowOff>
    </xdr:from>
    <xdr:to>
      <xdr:col>0</xdr:col>
      <xdr:colOff>1165413</xdr:colOff>
      <xdr:row>58</xdr:row>
      <xdr:rowOff>44824</xdr:rowOff>
    </xdr:to>
    <xdr:sp macro="" textlink="">
      <xdr:nvSpPr>
        <xdr:cNvPr id="378" name="Flèche vers le bas 377"/>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57</xdr:row>
      <xdr:rowOff>313765</xdr:rowOff>
    </xdr:from>
    <xdr:to>
      <xdr:col>0</xdr:col>
      <xdr:colOff>1165413</xdr:colOff>
      <xdr:row>58</xdr:row>
      <xdr:rowOff>44824</xdr:rowOff>
    </xdr:to>
    <xdr:sp macro="" textlink="">
      <xdr:nvSpPr>
        <xdr:cNvPr id="379" name="Flèche vers le bas 378"/>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57</xdr:row>
      <xdr:rowOff>313765</xdr:rowOff>
    </xdr:from>
    <xdr:to>
      <xdr:col>0</xdr:col>
      <xdr:colOff>1165413</xdr:colOff>
      <xdr:row>58</xdr:row>
      <xdr:rowOff>44824</xdr:rowOff>
    </xdr:to>
    <xdr:sp macro="" textlink="">
      <xdr:nvSpPr>
        <xdr:cNvPr id="380" name="Flèche vers le bas 379"/>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58</xdr:row>
      <xdr:rowOff>313765</xdr:rowOff>
    </xdr:from>
    <xdr:to>
      <xdr:col>0</xdr:col>
      <xdr:colOff>1165413</xdr:colOff>
      <xdr:row>59</xdr:row>
      <xdr:rowOff>44824</xdr:rowOff>
    </xdr:to>
    <xdr:sp macro="" textlink="">
      <xdr:nvSpPr>
        <xdr:cNvPr id="381" name="Flèche vers le bas 380"/>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58</xdr:row>
      <xdr:rowOff>313765</xdr:rowOff>
    </xdr:from>
    <xdr:to>
      <xdr:col>0</xdr:col>
      <xdr:colOff>1165413</xdr:colOff>
      <xdr:row>59</xdr:row>
      <xdr:rowOff>44824</xdr:rowOff>
    </xdr:to>
    <xdr:sp macro="" textlink="">
      <xdr:nvSpPr>
        <xdr:cNvPr id="382" name="Flèche vers le bas 381"/>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58</xdr:row>
      <xdr:rowOff>313765</xdr:rowOff>
    </xdr:from>
    <xdr:to>
      <xdr:col>0</xdr:col>
      <xdr:colOff>1165413</xdr:colOff>
      <xdr:row>59</xdr:row>
      <xdr:rowOff>44824</xdr:rowOff>
    </xdr:to>
    <xdr:sp macro="" textlink="">
      <xdr:nvSpPr>
        <xdr:cNvPr id="383" name="Flèche vers le bas 382"/>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59</xdr:row>
      <xdr:rowOff>313765</xdr:rowOff>
    </xdr:from>
    <xdr:to>
      <xdr:col>0</xdr:col>
      <xdr:colOff>1165413</xdr:colOff>
      <xdr:row>60</xdr:row>
      <xdr:rowOff>44824</xdr:rowOff>
    </xdr:to>
    <xdr:sp macro="" textlink="">
      <xdr:nvSpPr>
        <xdr:cNvPr id="384" name="Flèche vers le bas 383"/>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59</xdr:row>
      <xdr:rowOff>313765</xdr:rowOff>
    </xdr:from>
    <xdr:to>
      <xdr:col>0</xdr:col>
      <xdr:colOff>1165413</xdr:colOff>
      <xdr:row>60</xdr:row>
      <xdr:rowOff>44824</xdr:rowOff>
    </xdr:to>
    <xdr:sp macro="" textlink="">
      <xdr:nvSpPr>
        <xdr:cNvPr id="385" name="Flèche vers le bas 384"/>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59</xdr:row>
      <xdr:rowOff>313765</xdr:rowOff>
    </xdr:from>
    <xdr:to>
      <xdr:col>0</xdr:col>
      <xdr:colOff>1165413</xdr:colOff>
      <xdr:row>60</xdr:row>
      <xdr:rowOff>44824</xdr:rowOff>
    </xdr:to>
    <xdr:sp macro="" textlink="">
      <xdr:nvSpPr>
        <xdr:cNvPr id="386" name="Flèche vers le bas 385"/>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60</xdr:row>
      <xdr:rowOff>313765</xdr:rowOff>
    </xdr:from>
    <xdr:to>
      <xdr:col>0</xdr:col>
      <xdr:colOff>1165413</xdr:colOff>
      <xdr:row>61</xdr:row>
      <xdr:rowOff>44824</xdr:rowOff>
    </xdr:to>
    <xdr:sp macro="" textlink="">
      <xdr:nvSpPr>
        <xdr:cNvPr id="387" name="Flèche vers le bas 386"/>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60</xdr:row>
      <xdr:rowOff>313765</xdr:rowOff>
    </xdr:from>
    <xdr:to>
      <xdr:col>0</xdr:col>
      <xdr:colOff>1165413</xdr:colOff>
      <xdr:row>61</xdr:row>
      <xdr:rowOff>44824</xdr:rowOff>
    </xdr:to>
    <xdr:sp macro="" textlink="">
      <xdr:nvSpPr>
        <xdr:cNvPr id="388" name="Flèche vers le bas 387"/>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60</xdr:row>
      <xdr:rowOff>313765</xdr:rowOff>
    </xdr:from>
    <xdr:to>
      <xdr:col>0</xdr:col>
      <xdr:colOff>1165413</xdr:colOff>
      <xdr:row>61</xdr:row>
      <xdr:rowOff>44824</xdr:rowOff>
    </xdr:to>
    <xdr:sp macro="" textlink="">
      <xdr:nvSpPr>
        <xdr:cNvPr id="389" name="Flèche vers le bas 388"/>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61</xdr:row>
      <xdr:rowOff>313765</xdr:rowOff>
    </xdr:from>
    <xdr:to>
      <xdr:col>0</xdr:col>
      <xdr:colOff>1165413</xdr:colOff>
      <xdr:row>62</xdr:row>
      <xdr:rowOff>44824</xdr:rowOff>
    </xdr:to>
    <xdr:sp macro="" textlink="">
      <xdr:nvSpPr>
        <xdr:cNvPr id="390" name="Flèche vers le bas 389"/>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61</xdr:row>
      <xdr:rowOff>313765</xdr:rowOff>
    </xdr:from>
    <xdr:to>
      <xdr:col>0</xdr:col>
      <xdr:colOff>1165413</xdr:colOff>
      <xdr:row>62</xdr:row>
      <xdr:rowOff>44824</xdr:rowOff>
    </xdr:to>
    <xdr:sp macro="" textlink="">
      <xdr:nvSpPr>
        <xdr:cNvPr id="391" name="Flèche vers le bas 390"/>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61</xdr:row>
      <xdr:rowOff>313765</xdr:rowOff>
    </xdr:from>
    <xdr:to>
      <xdr:col>0</xdr:col>
      <xdr:colOff>1165413</xdr:colOff>
      <xdr:row>62</xdr:row>
      <xdr:rowOff>44824</xdr:rowOff>
    </xdr:to>
    <xdr:sp macro="" textlink="">
      <xdr:nvSpPr>
        <xdr:cNvPr id="392" name="Flèche vers le bas 391"/>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62</xdr:row>
      <xdr:rowOff>313765</xdr:rowOff>
    </xdr:from>
    <xdr:to>
      <xdr:col>0</xdr:col>
      <xdr:colOff>1165413</xdr:colOff>
      <xdr:row>63</xdr:row>
      <xdr:rowOff>44824</xdr:rowOff>
    </xdr:to>
    <xdr:sp macro="" textlink="">
      <xdr:nvSpPr>
        <xdr:cNvPr id="393" name="Flèche vers le bas 392"/>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62</xdr:row>
      <xdr:rowOff>313765</xdr:rowOff>
    </xdr:from>
    <xdr:to>
      <xdr:col>0</xdr:col>
      <xdr:colOff>1165413</xdr:colOff>
      <xdr:row>63</xdr:row>
      <xdr:rowOff>44824</xdr:rowOff>
    </xdr:to>
    <xdr:sp macro="" textlink="">
      <xdr:nvSpPr>
        <xdr:cNvPr id="394" name="Flèche vers le bas 393"/>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62</xdr:row>
      <xdr:rowOff>313765</xdr:rowOff>
    </xdr:from>
    <xdr:to>
      <xdr:col>0</xdr:col>
      <xdr:colOff>1165413</xdr:colOff>
      <xdr:row>63</xdr:row>
      <xdr:rowOff>44824</xdr:rowOff>
    </xdr:to>
    <xdr:sp macro="" textlink="">
      <xdr:nvSpPr>
        <xdr:cNvPr id="395" name="Flèche vers le bas 394"/>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63</xdr:row>
      <xdr:rowOff>313765</xdr:rowOff>
    </xdr:from>
    <xdr:to>
      <xdr:col>0</xdr:col>
      <xdr:colOff>1165413</xdr:colOff>
      <xdr:row>64</xdr:row>
      <xdr:rowOff>44824</xdr:rowOff>
    </xdr:to>
    <xdr:sp macro="" textlink="">
      <xdr:nvSpPr>
        <xdr:cNvPr id="396" name="Flèche vers le bas 395"/>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63</xdr:row>
      <xdr:rowOff>313765</xdr:rowOff>
    </xdr:from>
    <xdr:to>
      <xdr:col>0</xdr:col>
      <xdr:colOff>1165413</xdr:colOff>
      <xdr:row>64</xdr:row>
      <xdr:rowOff>44824</xdr:rowOff>
    </xdr:to>
    <xdr:sp macro="" textlink="">
      <xdr:nvSpPr>
        <xdr:cNvPr id="397" name="Flèche vers le bas 396"/>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63</xdr:row>
      <xdr:rowOff>313765</xdr:rowOff>
    </xdr:from>
    <xdr:to>
      <xdr:col>0</xdr:col>
      <xdr:colOff>1165413</xdr:colOff>
      <xdr:row>64</xdr:row>
      <xdr:rowOff>44824</xdr:rowOff>
    </xdr:to>
    <xdr:sp macro="" textlink="">
      <xdr:nvSpPr>
        <xdr:cNvPr id="398" name="Flèche vers le bas 397"/>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64</xdr:row>
      <xdr:rowOff>313765</xdr:rowOff>
    </xdr:from>
    <xdr:to>
      <xdr:col>0</xdr:col>
      <xdr:colOff>1165413</xdr:colOff>
      <xdr:row>65</xdr:row>
      <xdr:rowOff>44824</xdr:rowOff>
    </xdr:to>
    <xdr:sp macro="" textlink="">
      <xdr:nvSpPr>
        <xdr:cNvPr id="399" name="Flèche vers le bas 398"/>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64</xdr:row>
      <xdr:rowOff>313765</xdr:rowOff>
    </xdr:from>
    <xdr:to>
      <xdr:col>0</xdr:col>
      <xdr:colOff>1165413</xdr:colOff>
      <xdr:row>65</xdr:row>
      <xdr:rowOff>44824</xdr:rowOff>
    </xdr:to>
    <xdr:sp macro="" textlink="">
      <xdr:nvSpPr>
        <xdr:cNvPr id="400" name="Flèche vers le bas 399"/>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64</xdr:row>
      <xdr:rowOff>313765</xdr:rowOff>
    </xdr:from>
    <xdr:to>
      <xdr:col>0</xdr:col>
      <xdr:colOff>1165413</xdr:colOff>
      <xdr:row>65</xdr:row>
      <xdr:rowOff>44824</xdr:rowOff>
    </xdr:to>
    <xdr:sp macro="" textlink="">
      <xdr:nvSpPr>
        <xdr:cNvPr id="401" name="Flèche vers le bas 400"/>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65</xdr:row>
      <xdr:rowOff>313765</xdr:rowOff>
    </xdr:from>
    <xdr:to>
      <xdr:col>0</xdr:col>
      <xdr:colOff>1165413</xdr:colOff>
      <xdr:row>66</xdr:row>
      <xdr:rowOff>44824</xdr:rowOff>
    </xdr:to>
    <xdr:sp macro="" textlink="">
      <xdr:nvSpPr>
        <xdr:cNvPr id="402" name="Flèche vers le bas 401"/>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65</xdr:row>
      <xdr:rowOff>313765</xdr:rowOff>
    </xdr:from>
    <xdr:to>
      <xdr:col>0</xdr:col>
      <xdr:colOff>1165413</xdr:colOff>
      <xdr:row>66</xdr:row>
      <xdr:rowOff>44824</xdr:rowOff>
    </xdr:to>
    <xdr:sp macro="" textlink="">
      <xdr:nvSpPr>
        <xdr:cNvPr id="403" name="Flèche vers le bas 402"/>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65</xdr:row>
      <xdr:rowOff>313765</xdr:rowOff>
    </xdr:from>
    <xdr:to>
      <xdr:col>0</xdr:col>
      <xdr:colOff>1165413</xdr:colOff>
      <xdr:row>66</xdr:row>
      <xdr:rowOff>44824</xdr:rowOff>
    </xdr:to>
    <xdr:sp macro="" textlink="">
      <xdr:nvSpPr>
        <xdr:cNvPr id="404" name="Flèche vers le bas 403"/>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66</xdr:row>
      <xdr:rowOff>313765</xdr:rowOff>
    </xdr:from>
    <xdr:to>
      <xdr:col>0</xdr:col>
      <xdr:colOff>1165413</xdr:colOff>
      <xdr:row>67</xdr:row>
      <xdr:rowOff>44824</xdr:rowOff>
    </xdr:to>
    <xdr:sp macro="" textlink="">
      <xdr:nvSpPr>
        <xdr:cNvPr id="405" name="Flèche vers le bas 404"/>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66</xdr:row>
      <xdr:rowOff>313765</xdr:rowOff>
    </xdr:from>
    <xdr:to>
      <xdr:col>0</xdr:col>
      <xdr:colOff>1165413</xdr:colOff>
      <xdr:row>67</xdr:row>
      <xdr:rowOff>44824</xdr:rowOff>
    </xdr:to>
    <xdr:sp macro="" textlink="">
      <xdr:nvSpPr>
        <xdr:cNvPr id="406" name="Flèche vers le bas 405"/>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66</xdr:row>
      <xdr:rowOff>313765</xdr:rowOff>
    </xdr:from>
    <xdr:to>
      <xdr:col>0</xdr:col>
      <xdr:colOff>1165413</xdr:colOff>
      <xdr:row>67</xdr:row>
      <xdr:rowOff>44824</xdr:rowOff>
    </xdr:to>
    <xdr:sp macro="" textlink="">
      <xdr:nvSpPr>
        <xdr:cNvPr id="407" name="Flèche vers le bas 406"/>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67</xdr:row>
      <xdr:rowOff>313765</xdr:rowOff>
    </xdr:from>
    <xdr:to>
      <xdr:col>0</xdr:col>
      <xdr:colOff>1165413</xdr:colOff>
      <xdr:row>68</xdr:row>
      <xdr:rowOff>44824</xdr:rowOff>
    </xdr:to>
    <xdr:sp macro="" textlink="">
      <xdr:nvSpPr>
        <xdr:cNvPr id="408" name="Flèche vers le bas 407"/>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67</xdr:row>
      <xdr:rowOff>313765</xdr:rowOff>
    </xdr:from>
    <xdr:to>
      <xdr:col>0</xdr:col>
      <xdr:colOff>1165413</xdr:colOff>
      <xdr:row>68</xdr:row>
      <xdr:rowOff>44824</xdr:rowOff>
    </xdr:to>
    <xdr:sp macro="" textlink="">
      <xdr:nvSpPr>
        <xdr:cNvPr id="409" name="Flèche vers le bas 408"/>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67</xdr:row>
      <xdr:rowOff>313765</xdr:rowOff>
    </xdr:from>
    <xdr:to>
      <xdr:col>0</xdr:col>
      <xdr:colOff>1165413</xdr:colOff>
      <xdr:row>68</xdr:row>
      <xdr:rowOff>44824</xdr:rowOff>
    </xdr:to>
    <xdr:sp macro="" textlink="">
      <xdr:nvSpPr>
        <xdr:cNvPr id="410" name="Flèche vers le bas 409"/>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68</xdr:row>
      <xdr:rowOff>313765</xdr:rowOff>
    </xdr:from>
    <xdr:to>
      <xdr:col>0</xdr:col>
      <xdr:colOff>1165413</xdr:colOff>
      <xdr:row>69</xdr:row>
      <xdr:rowOff>44824</xdr:rowOff>
    </xdr:to>
    <xdr:sp macro="" textlink="">
      <xdr:nvSpPr>
        <xdr:cNvPr id="411" name="Flèche vers le bas 410"/>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68</xdr:row>
      <xdr:rowOff>313765</xdr:rowOff>
    </xdr:from>
    <xdr:to>
      <xdr:col>0</xdr:col>
      <xdr:colOff>1165413</xdr:colOff>
      <xdr:row>69</xdr:row>
      <xdr:rowOff>44824</xdr:rowOff>
    </xdr:to>
    <xdr:sp macro="" textlink="">
      <xdr:nvSpPr>
        <xdr:cNvPr id="412" name="Flèche vers le bas 411"/>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68</xdr:row>
      <xdr:rowOff>313765</xdr:rowOff>
    </xdr:from>
    <xdr:to>
      <xdr:col>0</xdr:col>
      <xdr:colOff>1165413</xdr:colOff>
      <xdr:row>69</xdr:row>
      <xdr:rowOff>44824</xdr:rowOff>
    </xdr:to>
    <xdr:sp macro="" textlink="">
      <xdr:nvSpPr>
        <xdr:cNvPr id="413" name="Flèche vers le bas 412"/>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69</xdr:row>
      <xdr:rowOff>313765</xdr:rowOff>
    </xdr:from>
    <xdr:to>
      <xdr:col>0</xdr:col>
      <xdr:colOff>1165413</xdr:colOff>
      <xdr:row>70</xdr:row>
      <xdr:rowOff>44824</xdr:rowOff>
    </xdr:to>
    <xdr:sp macro="" textlink="">
      <xdr:nvSpPr>
        <xdr:cNvPr id="414" name="Flèche vers le bas 413"/>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69</xdr:row>
      <xdr:rowOff>313765</xdr:rowOff>
    </xdr:from>
    <xdr:to>
      <xdr:col>0</xdr:col>
      <xdr:colOff>1165413</xdr:colOff>
      <xdr:row>70</xdr:row>
      <xdr:rowOff>44824</xdr:rowOff>
    </xdr:to>
    <xdr:sp macro="" textlink="">
      <xdr:nvSpPr>
        <xdr:cNvPr id="415" name="Flèche vers le bas 414"/>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69</xdr:row>
      <xdr:rowOff>313765</xdr:rowOff>
    </xdr:from>
    <xdr:to>
      <xdr:col>0</xdr:col>
      <xdr:colOff>1165413</xdr:colOff>
      <xdr:row>70</xdr:row>
      <xdr:rowOff>44824</xdr:rowOff>
    </xdr:to>
    <xdr:sp macro="" textlink="">
      <xdr:nvSpPr>
        <xdr:cNvPr id="416" name="Flèche vers le bas 415"/>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70</xdr:row>
      <xdr:rowOff>313765</xdr:rowOff>
    </xdr:from>
    <xdr:to>
      <xdr:col>0</xdr:col>
      <xdr:colOff>1165413</xdr:colOff>
      <xdr:row>71</xdr:row>
      <xdr:rowOff>44824</xdr:rowOff>
    </xdr:to>
    <xdr:sp macro="" textlink="">
      <xdr:nvSpPr>
        <xdr:cNvPr id="417" name="Flèche vers le bas 416"/>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70</xdr:row>
      <xdr:rowOff>313765</xdr:rowOff>
    </xdr:from>
    <xdr:to>
      <xdr:col>0</xdr:col>
      <xdr:colOff>1165413</xdr:colOff>
      <xdr:row>71</xdr:row>
      <xdr:rowOff>44824</xdr:rowOff>
    </xdr:to>
    <xdr:sp macro="" textlink="">
      <xdr:nvSpPr>
        <xdr:cNvPr id="418" name="Flèche vers le bas 417"/>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70</xdr:row>
      <xdr:rowOff>313765</xdr:rowOff>
    </xdr:from>
    <xdr:to>
      <xdr:col>0</xdr:col>
      <xdr:colOff>1165413</xdr:colOff>
      <xdr:row>71</xdr:row>
      <xdr:rowOff>44824</xdr:rowOff>
    </xdr:to>
    <xdr:sp macro="" textlink="">
      <xdr:nvSpPr>
        <xdr:cNvPr id="419" name="Flèche vers le bas 418"/>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71</xdr:row>
      <xdr:rowOff>313765</xdr:rowOff>
    </xdr:from>
    <xdr:to>
      <xdr:col>0</xdr:col>
      <xdr:colOff>1165413</xdr:colOff>
      <xdr:row>72</xdr:row>
      <xdr:rowOff>44824</xdr:rowOff>
    </xdr:to>
    <xdr:sp macro="" textlink="">
      <xdr:nvSpPr>
        <xdr:cNvPr id="420" name="Flèche vers le bas 419"/>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71</xdr:row>
      <xdr:rowOff>313765</xdr:rowOff>
    </xdr:from>
    <xdr:to>
      <xdr:col>0</xdr:col>
      <xdr:colOff>1165413</xdr:colOff>
      <xdr:row>72</xdr:row>
      <xdr:rowOff>44824</xdr:rowOff>
    </xdr:to>
    <xdr:sp macro="" textlink="">
      <xdr:nvSpPr>
        <xdr:cNvPr id="421" name="Flèche vers le bas 420"/>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71</xdr:row>
      <xdr:rowOff>313765</xdr:rowOff>
    </xdr:from>
    <xdr:to>
      <xdr:col>0</xdr:col>
      <xdr:colOff>1165413</xdr:colOff>
      <xdr:row>72</xdr:row>
      <xdr:rowOff>44824</xdr:rowOff>
    </xdr:to>
    <xdr:sp macro="" textlink="">
      <xdr:nvSpPr>
        <xdr:cNvPr id="422" name="Flèche vers le bas 421"/>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72</xdr:row>
      <xdr:rowOff>313765</xdr:rowOff>
    </xdr:from>
    <xdr:to>
      <xdr:col>0</xdr:col>
      <xdr:colOff>1165413</xdr:colOff>
      <xdr:row>73</xdr:row>
      <xdr:rowOff>44824</xdr:rowOff>
    </xdr:to>
    <xdr:sp macro="" textlink="">
      <xdr:nvSpPr>
        <xdr:cNvPr id="423" name="Flèche vers le bas 422"/>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72</xdr:row>
      <xdr:rowOff>313765</xdr:rowOff>
    </xdr:from>
    <xdr:to>
      <xdr:col>0</xdr:col>
      <xdr:colOff>1165413</xdr:colOff>
      <xdr:row>73</xdr:row>
      <xdr:rowOff>44824</xdr:rowOff>
    </xdr:to>
    <xdr:sp macro="" textlink="">
      <xdr:nvSpPr>
        <xdr:cNvPr id="424" name="Flèche vers le bas 423"/>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72</xdr:row>
      <xdr:rowOff>313765</xdr:rowOff>
    </xdr:from>
    <xdr:to>
      <xdr:col>0</xdr:col>
      <xdr:colOff>1165413</xdr:colOff>
      <xdr:row>73</xdr:row>
      <xdr:rowOff>44824</xdr:rowOff>
    </xdr:to>
    <xdr:sp macro="" textlink="">
      <xdr:nvSpPr>
        <xdr:cNvPr id="425" name="Flèche vers le bas 424"/>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73</xdr:row>
      <xdr:rowOff>313765</xdr:rowOff>
    </xdr:from>
    <xdr:to>
      <xdr:col>0</xdr:col>
      <xdr:colOff>1165413</xdr:colOff>
      <xdr:row>74</xdr:row>
      <xdr:rowOff>44824</xdr:rowOff>
    </xdr:to>
    <xdr:sp macro="" textlink="">
      <xdr:nvSpPr>
        <xdr:cNvPr id="426" name="Flèche vers le bas 425"/>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73</xdr:row>
      <xdr:rowOff>313765</xdr:rowOff>
    </xdr:from>
    <xdr:to>
      <xdr:col>0</xdr:col>
      <xdr:colOff>1165413</xdr:colOff>
      <xdr:row>74</xdr:row>
      <xdr:rowOff>44824</xdr:rowOff>
    </xdr:to>
    <xdr:sp macro="" textlink="">
      <xdr:nvSpPr>
        <xdr:cNvPr id="427" name="Flèche vers le bas 426"/>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73</xdr:row>
      <xdr:rowOff>313765</xdr:rowOff>
    </xdr:from>
    <xdr:to>
      <xdr:col>0</xdr:col>
      <xdr:colOff>1165413</xdr:colOff>
      <xdr:row>74</xdr:row>
      <xdr:rowOff>44824</xdr:rowOff>
    </xdr:to>
    <xdr:sp macro="" textlink="">
      <xdr:nvSpPr>
        <xdr:cNvPr id="428" name="Flèche vers le bas 427"/>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74</xdr:row>
      <xdr:rowOff>313765</xdr:rowOff>
    </xdr:from>
    <xdr:to>
      <xdr:col>0</xdr:col>
      <xdr:colOff>1165413</xdr:colOff>
      <xdr:row>75</xdr:row>
      <xdr:rowOff>44824</xdr:rowOff>
    </xdr:to>
    <xdr:sp macro="" textlink="">
      <xdr:nvSpPr>
        <xdr:cNvPr id="429" name="Flèche vers le bas 428"/>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74</xdr:row>
      <xdr:rowOff>313765</xdr:rowOff>
    </xdr:from>
    <xdr:to>
      <xdr:col>0</xdr:col>
      <xdr:colOff>1165413</xdr:colOff>
      <xdr:row>75</xdr:row>
      <xdr:rowOff>44824</xdr:rowOff>
    </xdr:to>
    <xdr:sp macro="" textlink="">
      <xdr:nvSpPr>
        <xdr:cNvPr id="430" name="Flèche vers le bas 429"/>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74</xdr:row>
      <xdr:rowOff>313765</xdr:rowOff>
    </xdr:from>
    <xdr:to>
      <xdr:col>0</xdr:col>
      <xdr:colOff>1165413</xdr:colOff>
      <xdr:row>75</xdr:row>
      <xdr:rowOff>44824</xdr:rowOff>
    </xdr:to>
    <xdr:sp macro="" textlink="">
      <xdr:nvSpPr>
        <xdr:cNvPr id="431" name="Flèche vers le bas 430"/>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75</xdr:row>
      <xdr:rowOff>313765</xdr:rowOff>
    </xdr:from>
    <xdr:to>
      <xdr:col>0</xdr:col>
      <xdr:colOff>1165413</xdr:colOff>
      <xdr:row>76</xdr:row>
      <xdr:rowOff>44824</xdr:rowOff>
    </xdr:to>
    <xdr:sp macro="" textlink="">
      <xdr:nvSpPr>
        <xdr:cNvPr id="432" name="Flèche vers le bas 431"/>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75</xdr:row>
      <xdr:rowOff>313765</xdr:rowOff>
    </xdr:from>
    <xdr:to>
      <xdr:col>0</xdr:col>
      <xdr:colOff>1165413</xdr:colOff>
      <xdr:row>76</xdr:row>
      <xdr:rowOff>44824</xdr:rowOff>
    </xdr:to>
    <xdr:sp macro="" textlink="">
      <xdr:nvSpPr>
        <xdr:cNvPr id="433" name="Flèche vers le bas 432"/>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75</xdr:row>
      <xdr:rowOff>313765</xdr:rowOff>
    </xdr:from>
    <xdr:to>
      <xdr:col>0</xdr:col>
      <xdr:colOff>1165413</xdr:colOff>
      <xdr:row>76</xdr:row>
      <xdr:rowOff>44824</xdr:rowOff>
    </xdr:to>
    <xdr:sp macro="" textlink="">
      <xdr:nvSpPr>
        <xdr:cNvPr id="434" name="Flèche vers le bas 433"/>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76</xdr:row>
      <xdr:rowOff>313765</xdr:rowOff>
    </xdr:from>
    <xdr:to>
      <xdr:col>0</xdr:col>
      <xdr:colOff>1165413</xdr:colOff>
      <xdr:row>77</xdr:row>
      <xdr:rowOff>44824</xdr:rowOff>
    </xdr:to>
    <xdr:sp macro="" textlink="">
      <xdr:nvSpPr>
        <xdr:cNvPr id="435" name="Flèche vers le bas 434"/>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76</xdr:row>
      <xdr:rowOff>313765</xdr:rowOff>
    </xdr:from>
    <xdr:to>
      <xdr:col>0</xdr:col>
      <xdr:colOff>1165413</xdr:colOff>
      <xdr:row>77</xdr:row>
      <xdr:rowOff>44824</xdr:rowOff>
    </xdr:to>
    <xdr:sp macro="" textlink="">
      <xdr:nvSpPr>
        <xdr:cNvPr id="436" name="Flèche vers le bas 435"/>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76</xdr:row>
      <xdr:rowOff>313765</xdr:rowOff>
    </xdr:from>
    <xdr:to>
      <xdr:col>0</xdr:col>
      <xdr:colOff>1165413</xdr:colOff>
      <xdr:row>77</xdr:row>
      <xdr:rowOff>44824</xdr:rowOff>
    </xdr:to>
    <xdr:sp macro="" textlink="">
      <xdr:nvSpPr>
        <xdr:cNvPr id="437" name="Flèche vers le bas 436"/>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77</xdr:row>
      <xdr:rowOff>313765</xdr:rowOff>
    </xdr:from>
    <xdr:to>
      <xdr:col>0</xdr:col>
      <xdr:colOff>1165413</xdr:colOff>
      <xdr:row>78</xdr:row>
      <xdr:rowOff>44824</xdr:rowOff>
    </xdr:to>
    <xdr:sp macro="" textlink="">
      <xdr:nvSpPr>
        <xdr:cNvPr id="438" name="Flèche vers le bas 437"/>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77</xdr:row>
      <xdr:rowOff>313765</xdr:rowOff>
    </xdr:from>
    <xdr:to>
      <xdr:col>0</xdr:col>
      <xdr:colOff>1165413</xdr:colOff>
      <xdr:row>78</xdr:row>
      <xdr:rowOff>44824</xdr:rowOff>
    </xdr:to>
    <xdr:sp macro="" textlink="">
      <xdr:nvSpPr>
        <xdr:cNvPr id="439" name="Flèche vers le bas 438"/>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77</xdr:row>
      <xdr:rowOff>313765</xdr:rowOff>
    </xdr:from>
    <xdr:to>
      <xdr:col>0</xdr:col>
      <xdr:colOff>1165413</xdr:colOff>
      <xdr:row>78</xdr:row>
      <xdr:rowOff>44824</xdr:rowOff>
    </xdr:to>
    <xdr:sp macro="" textlink="">
      <xdr:nvSpPr>
        <xdr:cNvPr id="440" name="Flèche vers le bas 439"/>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78</xdr:row>
      <xdr:rowOff>313765</xdr:rowOff>
    </xdr:from>
    <xdr:to>
      <xdr:col>0</xdr:col>
      <xdr:colOff>1165413</xdr:colOff>
      <xdr:row>79</xdr:row>
      <xdr:rowOff>44824</xdr:rowOff>
    </xdr:to>
    <xdr:sp macro="" textlink="">
      <xdr:nvSpPr>
        <xdr:cNvPr id="441" name="Flèche vers le bas 440"/>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78</xdr:row>
      <xdr:rowOff>313765</xdr:rowOff>
    </xdr:from>
    <xdr:to>
      <xdr:col>0</xdr:col>
      <xdr:colOff>1165413</xdr:colOff>
      <xdr:row>79</xdr:row>
      <xdr:rowOff>44824</xdr:rowOff>
    </xdr:to>
    <xdr:sp macro="" textlink="">
      <xdr:nvSpPr>
        <xdr:cNvPr id="442" name="Flèche vers le bas 441"/>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78</xdr:row>
      <xdr:rowOff>313765</xdr:rowOff>
    </xdr:from>
    <xdr:to>
      <xdr:col>0</xdr:col>
      <xdr:colOff>1165413</xdr:colOff>
      <xdr:row>79</xdr:row>
      <xdr:rowOff>44824</xdr:rowOff>
    </xdr:to>
    <xdr:sp macro="" textlink="">
      <xdr:nvSpPr>
        <xdr:cNvPr id="443" name="Flèche vers le bas 442"/>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79</xdr:row>
      <xdr:rowOff>313765</xdr:rowOff>
    </xdr:from>
    <xdr:to>
      <xdr:col>0</xdr:col>
      <xdr:colOff>1165413</xdr:colOff>
      <xdr:row>80</xdr:row>
      <xdr:rowOff>44824</xdr:rowOff>
    </xdr:to>
    <xdr:sp macro="" textlink="">
      <xdr:nvSpPr>
        <xdr:cNvPr id="444" name="Flèche vers le bas 443"/>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79</xdr:row>
      <xdr:rowOff>313765</xdr:rowOff>
    </xdr:from>
    <xdr:to>
      <xdr:col>0</xdr:col>
      <xdr:colOff>1165413</xdr:colOff>
      <xdr:row>80</xdr:row>
      <xdr:rowOff>44824</xdr:rowOff>
    </xdr:to>
    <xdr:sp macro="" textlink="">
      <xdr:nvSpPr>
        <xdr:cNvPr id="445" name="Flèche vers le bas 444"/>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79</xdr:row>
      <xdr:rowOff>313765</xdr:rowOff>
    </xdr:from>
    <xdr:to>
      <xdr:col>0</xdr:col>
      <xdr:colOff>1165413</xdr:colOff>
      <xdr:row>80</xdr:row>
      <xdr:rowOff>44824</xdr:rowOff>
    </xdr:to>
    <xdr:sp macro="" textlink="">
      <xdr:nvSpPr>
        <xdr:cNvPr id="446" name="Flèche vers le bas 445"/>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80</xdr:row>
      <xdr:rowOff>313765</xdr:rowOff>
    </xdr:from>
    <xdr:to>
      <xdr:col>0</xdr:col>
      <xdr:colOff>1165413</xdr:colOff>
      <xdr:row>81</xdr:row>
      <xdr:rowOff>44824</xdr:rowOff>
    </xdr:to>
    <xdr:sp macro="" textlink="">
      <xdr:nvSpPr>
        <xdr:cNvPr id="447" name="Flèche vers le bas 446"/>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80</xdr:row>
      <xdr:rowOff>313765</xdr:rowOff>
    </xdr:from>
    <xdr:to>
      <xdr:col>0</xdr:col>
      <xdr:colOff>1165413</xdr:colOff>
      <xdr:row>81</xdr:row>
      <xdr:rowOff>44824</xdr:rowOff>
    </xdr:to>
    <xdr:sp macro="" textlink="">
      <xdr:nvSpPr>
        <xdr:cNvPr id="448" name="Flèche vers le bas 447"/>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80</xdr:row>
      <xdr:rowOff>313765</xdr:rowOff>
    </xdr:from>
    <xdr:to>
      <xdr:col>0</xdr:col>
      <xdr:colOff>1165413</xdr:colOff>
      <xdr:row>81</xdr:row>
      <xdr:rowOff>44824</xdr:rowOff>
    </xdr:to>
    <xdr:sp macro="" textlink="">
      <xdr:nvSpPr>
        <xdr:cNvPr id="449" name="Flèche vers le bas 448"/>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81</xdr:row>
      <xdr:rowOff>313765</xdr:rowOff>
    </xdr:from>
    <xdr:to>
      <xdr:col>0</xdr:col>
      <xdr:colOff>1165413</xdr:colOff>
      <xdr:row>82</xdr:row>
      <xdr:rowOff>44824</xdr:rowOff>
    </xdr:to>
    <xdr:sp macro="" textlink="">
      <xdr:nvSpPr>
        <xdr:cNvPr id="450" name="Flèche vers le bas 449"/>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81</xdr:row>
      <xdr:rowOff>313765</xdr:rowOff>
    </xdr:from>
    <xdr:to>
      <xdr:col>0</xdr:col>
      <xdr:colOff>1165413</xdr:colOff>
      <xdr:row>82</xdr:row>
      <xdr:rowOff>44824</xdr:rowOff>
    </xdr:to>
    <xdr:sp macro="" textlink="">
      <xdr:nvSpPr>
        <xdr:cNvPr id="451" name="Flèche vers le bas 450"/>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81</xdr:row>
      <xdr:rowOff>313765</xdr:rowOff>
    </xdr:from>
    <xdr:to>
      <xdr:col>0</xdr:col>
      <xdr:colOff>1165413</xdr:colOff>
      <xdr:row>82</xdr:row>
      <xdr:rowOff>44824</xdr:rowOff>
    </xdr:to>
    <xdr:sp macro="" textlink="">
      <xdr:nvSpPr>
        <xdr:cNvPr id="452" name="Flèche vers le bas 451"/>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82</xdr:row>
      <xdr:rowOff>313765</xdr:rowOff>
    </xdr:from>
    <xdr:to>
      <xdr:col>0</xdr:col>
      <xdr:colOff>1165413</xdr:colOff>
      <xdr:row>83</xdr:row>
      <xdr:rowOff>44824</xdr:rowOff>
    </xdr:to>
    <xdr:sp macro="" textlink="">
      <xdr:nvSpPr>
        <xdr:cNvPr id="453" name="Flèche vers le bas 452"/>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82</xdr:row>
      <xdr:rowOff>313765</xdr:rowOff>
    </xdr:from>
    <xdr:to>
      <xdr:col>0</xdr:col>
      <xdr:colOff>1165413</xdr:colOff>
      <xdr:row>83</xdr:row>
      <xdr:rowOff>44824</xdr:rowOff>
    </xdr:to>
    <xdr:sp macro="" textlink="">
      <xdr:nvSpPr>
        <xdr:cNvPr id="454" name="Flèche vers le bas 453"/>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82</xdr:row>
      <xdr:rowOff>313765</xdr:rowOff>
    </xdr:from>
    <xdr:to>
      <xdr:col>0</xdr:col>
      <xdr:colOff>1165413</xdr:colOff>
      <xdr:row>83</xdr:row>
      <xdr:rowOff>44824</xdr:rowOff>
    </xdr:to>
    <xdr:sp macro="" textlink="">
      <xdr:nvSpPr>
        <xdr:cNvPr id="455" name="Flèche vers le bas 454"/>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83</xdr:row>
      <xdr:rowOff>313765</xdr:rowOff>
    </xdr:from>
    <xdr:to>
      <xdr:col>0</xdr:col>
      <xdr:colOff>1165413</xdr:colOff>
      <xdr:row>84</xdr:row>
      <xdr:rowOff>44824</xdr:rowOff>
    </xdr:to>
    <xdr:sp macro="" textlink="">
      <xdr:nvSpPr>
        <xdr:cNvPr id="456" name="Flèche vers le bas 455"/>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83</xdr:row>
      <xdr:rowOff>313765</xdr:rowOff>
    </xdr:from>
    <xdr:to>
      <xdr:col>0</xdr:col>
      <xdr:colOff>1165413</xdr:colOff>
      <xdr:row>84</xdr:row>
      <xdr:rowOff>44824</xdr:rowOff>
    </xdr:to>
    <xdr:sp macro="" textlink="">
      <xdr:nvSpPr>
        <xdr:cNvPr id="457" name="Flèche vers le bas 456"/>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83</xdr:row>
      <xdr:rowOff>313765</xdr:rowOff>
    </xdr:from>
    <xdr:to>
      <xdr:col>0</xdr:col>
      <xdr:colOff>1165413</xdr:colOff>
      <xdr:row>84</xdr:row>
      <xdr:rowOff>44824</xdr:rowOff>
    </xdr:to>
    <xdr:sp macro="" textlink="">
      <xdr:nvSpPr>
        <xdr:cNvPr id="458" name="Flèche vers le bas 457"/>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84</xdr:row>
      <xdr:rowOff>313765</xdr:rowOff>
    </xdr:from>
    <xdr:to>
      <xdr:col>0</xdr:col>
      <xdr:colOff>1165413</xdr:colOff>
      <xdr:row>85</xdr:row>
      <xdr:rowOff>44824</xdr:rowOff>
    </xdr:to>
    <xdr:sp macro="" textlink="">
      <xdr:nvSpPr>
        <xdr:cNvPr id="459" name="Flèche vers le bas 458"/>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84</xdr:row>
      <xdr:rowOff>313765</xdr:rowOff>
    </xdr:from>
    <xdr:to>
      <xdr:col>0</xdr:col>
      <xdr:colOff>1165413</xdr:colOff>
      <xdr:row>85</xdr:row>
      <xdr:rowOff>44824</xdr:rowOff>
    </xdr:to>
    <xdr:sp macro="" textlink="">
      <xdr:nvSpPr>
        <xdr:cNvPr id="460" name="Flèche vers le bas 459"/>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84</xdr:row>
      <xdr:rowOff>313765</xdr:rowOff>
    </xdr:from>
    <xdr:to>
      <xdr:col>0</xdr:col>
      <xdr:colOff>1165413</xdr:colOff>
      <xdr:row>85</xdr:row>
      <xdr:rowOff>44824</xdr:rowOff>
    </xdr:to>
    <xdr:sp macro="" textlink="">
      <xdr:nvSpPr>
        <xdr:cNvPr id="461" name="Flèche vers le bas 460"/>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85</xdr:row>
      <xdr:rowOff>313765</xdr:rowOff>
    </xdr:from>
    <xdr:to>
      <xdr:col>0</xdr:col>
      <xdr:colOff>1165413</xdr:colOff>
      <xdr:row>86</xdr:row>
      <xdr:rowOff>44824</xdr:rowOff>
    </xdr:to>
    <xdr:sp macro="" textlink="">
      <xdr:nvSpPr>
        <xdr:cNvPr id="462" name="Flèche vers le bas 461"/>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85</xdr:row>
      <xdr:rowOff>313765</xdr:rowOff>
    </xdr:from>
    <xdr:to>
      <xdr:col>0</xdr:col>
      <xdr:colOff>1165413</xdr:colOff>
      <xdr:row>86</xdr:row>
      <xdr:rowOff>44824</xdr:rowOff>
    </xdr:to>
    <xdr:sp macro="" textlink="">
      <xdr:nvSpPr>
        <xdr:cNvPr id="463" name="Flèche vers le bas 462"/>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85</xdr:row>
      <xdr:rowOff>313765</xdr:rowOff>
    </xdr:from>
    <xdr:to>
      <xdr:col>0</xdr:col>
      <xdr:colOff>1165413</xdr:colOff>
      <xdr:row>86</xdr:row>
      <xdr:rowOff>44824</xdr:rowOff>
    </xdr:to>
    <xdr:sp macro="" textlink="">
      <xdr:nvSpPr>
        <xdr:cNvPr id="464" name="Flèche vers le bas 463"/>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86</xdr:row>
      <xdr:rowOff>313765</xdr:rowOff>
    </xdr:from>
    <xdr:to>
      <xdr:col>0</xdr:col>
      <xdr:colOff>1165413</xdr:colOff>
      <xdr:row>87</xdr:row>
      <xdr:rowOff>44824</xdr:rowOff>
    </xdr:to>
    <xdr:sp macro="" textlink="">
      <xdr:nvSpPr>
        <xdr:cNvPr id="465" name="Flèche vers le bas 464"/>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86</xdr:row>
      <xdr:rowOff>313765</xdr:rowOff>
    </xdr:from>
    <xdr:to>
      <xdr:col>0</xdr:col>
      <xdr:colOff>1165413</xdr:colOff>
      <xdr:row>87</xdr:row>
      <xdr:rowOff>44824</xdr:rowOff>
    </xdr:to>
    <xdr:sp macro="" textlink="">
      <xdr:nvSpPr>
        <xdr:cNvPr id="466" name="Flèche vers le bas 465"/>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86</xdr:row>
      <xdr:rowOff>313765</xdr:rowOff>
    </xdr:from>
    <xdr:to>
      <xdr:col>0</xdr:col>
      <xdr:colOff>1165413</xdr:colOff>
      <xdr:row>87</xdr:row>
      <xdr:rowOff>44824</xdr:rowOff>
    </xdr:to>
    <xdr:sp macro="" textlink="">
      <xdr:nvSpPr>
        <xdr:cNvPr id="467" name="Flèche vers le bas 466"/>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468" name="Flèche vers le bas 467"/>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469" name="Flèche vers le bas 468"/>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470" name="Flèche vers le bas 469"/>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471" name="Flèche vers le bas 470"/>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472" name="Flèche vers le bas 471"/>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473" name="Flèche vers le bas 472"/>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474" name="Flèche vers le bas 473"/>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475" name="Flèche vers le bas 474"/>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476" name="Flèche vers le bas 475"/>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477" name="Flèche vers le bas 476"/>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478" name="Flèche vers le bas 477"/>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479" name="Flèche vers le bas 478"/>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480" name="Flèche vers le bas 479"/>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481" name="Flèche vers le bas 480"/>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482" name="Flèche vers le bas 481"/>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483" name="Flèche vers le bas 482"/>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484" name="Flèche vers le bas 483"/>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485" name="Flèche vers le bas 484"/>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486" name="Flèche vers le bas 485"/>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487" name="Flèche vers le bas 486"/>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488" name="Flèche vers le bas 487"/>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489" name="Flèche vers le bas 488"/>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490" name="Flèche vers le bas 489"/>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491" name="Flèche vers le bas 490"/>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492" name="Flèche vers le bas 491"/>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493" name="Flèche vers le bas 492"/>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494" name="Flèche vers le bas 493"/>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495" name="Flèche vers le bas 494"/>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496" name="Flèche vers le bas 495"/>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497" name="Flèche vers le bas 496"/>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498" name="Flèche vers le bas 497"/>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499" name="Flèche vers le bas 498"/>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500" name="Flèche vers le bas 499"/>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501" name="Flèche vers le bas 500"/>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502" name="Flèche vers le bas 501"/>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503" name="Flèche vers le bas 502"/>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504" name="Flèche vers le bas 503"/>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505" name="Flèche vers le bas 504"/>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506" name="Flèche vers le bas 505"/>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507" name="Flèche vers le bas 506"/>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508" name="Flèche vers le bas 507"/>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509" name="Flèche vers le bas 508"/>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510" name="Flèche vers le bas 509"/>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511" name="Flèche vers le bas 510"/>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512" name="Flèche vers le bas 511"/>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513" name="Flèche vers le bas 512"/>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514" name="Flèche vers le bas 513"/>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515" name="Flèche vers le bas 514"/>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516" name="Flèche vers le bas 515"/>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517" name="Flèche vers le bas 516"/>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518" name="Flèche vers le bas 517"/>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519" name="Flèche vers le bas 518"/>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520" name="Flèche vers le bas 519"/>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521" name="Flèche vers le bas 520"/>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522" name="Flèche vers le bas 521"/>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523" name="Flèche vers le bas 522"/>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524" name="Flèche vers le bas 523"/>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525" name="Flèche vers le bas 524"/>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526" name="Flèche vers le bas 525"/>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527" name="Flèche vers le bas 526"/>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528" name="Flèche vers le bas 527"/>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529" name="Flèche vers le bas 528"/>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530" name="Flèche vers le bas 529"/>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531" name="Flèche vers le bas 530"/>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532" name="Flèche vers le bas 531"/>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533" name="Flèche vers le bas 532"/>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534" name="Flèche vers le bas 533"/>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535" name="Flèche vers le bas 534"/>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536" name="Flèche vers le bas 535"/>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112</xdr:row>
      <xdr:rowOff>0</xdr:rowOff>
    </xdr:from>
    <xdr:to>
      <xdr:col>0</xdr:col>
      <xdr:colOff>1165413</xdr:colOff>
      <xdr:row>112</xdr:row>
      <xdr:rowOff>44824</xdr:rowOff>
    </xdr:to>
    <xdr:sp macro="" textlink="">
      <xdr:nvSpPr>
        <xdr:cNvPr id="540" name="Flèche vers le bas 539"/>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112</xdr:row>
      <xdr:rowOff>0</xdr:rowOff>
    </xdr:from>
    <xdr:to>
      <xdr:col>0</xdr:col>
      <xdr:colOff>1165413</xdr:colOff>
      <xdr:row>112</xdr:row>
      <xdr:rowOff>44824</xdr:rowOff>
    </xdr:to>
    <xdr:sp macro="" textlink="">
      <xdr:nvSpPr>
        <xdr:cNvPr id="541" name="Flèche vers le bas 540"/>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112</xdr:row>
      <xdr:rowOff>0</xdr:rowOff>
    </xdr:from>
    <xdr:to>
      <xdr:col>0</xdr:col>
      <xdr:colOff>1165413</xdr:colOff>
      <xdr:row>112</xdr:row>
      <xdr:rowOff>44824</xdr:rowOff>
    </xdr:to>
    <xdr:sp macro="" textlink="">
      <xdr:nvSpPr>
        <xdr:cNvPr id="542" name="Flèche vers le bas 541"/>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112</xdr:row>
      <xdr:rowOff>313765</xdr:rowOff>
    </xdr:from>
    <xdr:to>
      <xdr:col>0</xdr:col>
      <xdr:colOff>1165413</xdr:colOff>
      <xdr:row>113</xdr:row>
      <xdr:rowOff>44824</xdr:rowOff>
    </xdr:to>
    <xdr:sp macro="" textlink="">
      <xdr:nvSpPr>
        <xdr:cNvPr id="543" name="Flèche vers le bas 542"/>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112</xdr:row>
      <xdr:rowOff>313765</xdr:rowOff>
    </xdr:from>
    <xdr:to>
      <xdr:col>0</xdr:col>
      <xdr:colOff>1165413</xdr:colOff>
      <xdr:row>113</xdr:row>
      <xdr:rowOff>44824</xdr:rowOff>
    </xdr:to>
    <xdr:sp macro="" textlink="">
      <xdr:nvSpPr>
        <xdr:cNvPr id="544" name="Flèche vers le bas 543"/>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112</xdr:row>
      <xdr:rowOff>313765</xdr:rowOff>
    </xdr:from>
    <xdr:to>
      <xdr:col>0</xdr:col>
      <xdr:colOff>1165413</xdr:colOff>
      <xdr:row>113</xdr:row>
      <xdr:rowOff>44824</xdr:rowOff>
    </xdr:to>
    <xdr:sp macro="" textlink="">
      <xdr:nvSpPr>
        <xdr:cNvPr id="545" name="Flèche vers le bas 544"/>
        <xdr:cNvSpPr/>
      </xdr:nvSpPr>
      <xdr:spPr>
        <a:xfrm>
          <a:off x="1019737" y="1769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113</xdr:row>
      <xdr:rowOff>313765</xdr:rowOff>
    </xdr:from>
    <xdr:to>
      <xdr:col>0</xdr:col>
      <xdr:colOff>1165413</xdr:colOff>
      <xdr:row>114</xdr:row>
      <xdr:rowOff>44824</xdr:rowOff>
    </xdr:to>
    <xdr:sp macro="" textlink="">
      <xdr:nvSpPr>
        <xdr:cNvPr id="546" name="Flèche vers le bas 545"/>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113</xdr:row>
      <xdr:rowOff>313765</xdr:rowOff>
    </xdr:from>
    <xdr:to>
      <xdr:col>0</xdr:col>
      <xdr:colOff>1165413</xdr:colOff>
      <xdr:row>114</xdr:row>
      <xdr:rowOff>44824</xdr:rowOff>
    </xdr:to>
    <xdr:sp macro="" textlink="">
      <xdr:nvSpPr>
        <xdr:cNvPr id="547" name="Flèche vers le bas 546"/>
        <xdr:cNvSpPr/>
      </xdr:nvSpPr>
      <xdr:spPr>
        <a:xfrm>
          <a:off x="1019737" y="2094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xdr:row>
      <xdr:rowOff>313765</xdr:rowOff>
    </xdr:from>
    <xdr:to>
      <xdr:col>0</xdr:col>
      <xdr:colOff>1165413</xdr:colOff>
      <xdr:row>8</xdr:row>
      <xdr:rowOff>44824</xdr:rowOff>
    </xdr:to>
    <xdr:sp macro="" textlink="">
      <xdr:nvSpPr>
        <xdr:cNvPr id="548" name="Flèche vers le bas 547"/>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xdr:row>
      <xdr:rowOff>313765</xdr:rowOff>
    </xdr:from>
    <xdr:to>
      <xdr:col>0</xdr:col>
      <xdr:colOff>1165413</xdr:colOff>
      <xdr:row>9</xdr:row>
      <xdr:rowOff>44824</xdr:rowOff>
    </xdr:to>
    <xdr:sp macro="" textlink="">
      <xdr:nvSpPr>
        <xdr:cNvPr id="549" name="Flèche vers le bas 548"/>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xdr:row>
      <xdr:rowOff>313765</xdr:rowOff>
    </xdr:from>
    <xdr:to>
      <xdr:col>0</xdr:col>
      <xdr:colOff>1165413</xdr:colOff>
      <xdr:row>9</xdr:row>
      <xdr:rowOff>44824</xdr:rowOff>
    </xdr:to>
    <xdr:sp macro="" textlink="">
      <xdr:nvSpPr>
        <xdr:cNvPr id="550" name="Flèche vers le bas 54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xdr:row>
      <xdr:rowOff>313765</xdr:rowOff>
    </xdr:from>
    <xdr:to>
      <xdr:col>0</xdr:col>
      <xdr:colOff>1165413</xdr:colOff>
      <xdr:row>9</xdr:row>
      <xdr:rowOff>44824</xdr:rowOff>
    </xdr:to>
    <xdr:sp macro="" textlink="">
      <xdr:nvSpPr>
        <xdr:cNvPr id="551" name="Flèche vers le bas 550"/>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xdr:row>
      <xdr:rowOff>313765</xdr:rowOff>
    </xdr:from>
    <xdr:to>
      <xdr:col>0</xdr:col>
      <xdr:colOff>1165413</xdr:colOff>
      <xdr:row>10</xdr:row>
      <xdr:rowOff>44824</xdr:rowOff>
    </xdr:to>
    <xdr:sp macro="" textlink="">
      <xdr:nvSpPr>
        <xdr:cNvPr id="552" name="Flèche vers le bas 55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xdr:row>
      <xdr:rowOff>313765</xdr:rowOff>
    </xdr:from>
    <xdr:to>
      <xdr:col>0</xdr:col>
      <xdr:colOff>1165413</xdr:colOff>
      <xdr:row>10</xdr:row>
      <xdr:rowOff>44824</xdr:rowOff>
    </xdr:to>
    <xdr:sp macro="" textlink="">
      <xdr:nvSpPr>
        <xdr:cNvPr id="553" name="Flèche vers le bas 552"/>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xdr:row>
      <xdr:rowOff>313765</xdr:rowOff>
    </xdr:from>
    <xdr:to>
      <xdr:col>0</xdr:col>
      <xdr:colOff>1165413</xdr:colOff>
      <xdr:row>10</xdr:row>
      <xdr:rowOff>44824</xdr:rowOff>
    </xdr:to>
    <xdr:sp macro="" textlink="">
      <xdr:nvSpPr>
        <xdr:cNvPr id="554" name="Flèche vers le bas 55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xdr:row>
      <xdr:rowOff>313765</xdr:rowOff>
    </xdr:from>
    <xdr:to>
      <xdr:col>0</xdr:col>
      <xdr:colOff>1165413</xdr:colOff>
      <xdr:row>10</xdr:row>
      <xdr:rowOff>44824</xdr:rowOff>
    </xdr:to>
    <xdr:sp macro="" textlink="">
      <xdr:nvSpPr>
        <xdr:cNvPr id="555" name="Flèche vers le bas 554"/>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556" name="Flèche vers le bas 55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557" name="Flèche vers le bas 556"/>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558" name="Flèche vers le bas 55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559" name="Flèche vers le bas 558"/>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560" name="Flèche vers le bas 55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561" name="Flèche vers le bas 560"/>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562" name="Flèche vers le bas 56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563" name="Flèche vers le bas 562"/>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564" name="Flèche vers le bas 56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565" name="Flèche vers le bas 564"/>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566" name="Flèche vers le bas 56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567" name="Flèche vers le bas 566"/>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568" name="Flèche vers le bas 56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569" name="Flèche vers le bas 568"/>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570" name="Flèche vers le bas 56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571" name="Flèche vers le bas 570"/>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572" name="Flèche vers le bas 57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573" name="Flèche vers le bas 572"/>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574" name="Flèche vers le bas 57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575" name="Flèche vers le bas 574"/>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576" name="Flèche vers le bas 57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577" name="Flèche vers le bas 576"/>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578" name="Flèche vers le bas 57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579" name="Flèche vers le bas 578"/>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580" name="Flèche vers le bas 57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581" name="Flèche vers le bas 580"/>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582" name="Flèche vers le bas 58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583" name="Flèche vers le bas 582"/>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584" name="Flèche vers le bas 58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585" name="Flèche vers le bas 584"/>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586" name="Flèche vers le bas 58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587" name="Flèche vers le bas 586"/>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588" name="Flèche vers le bas 58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589" name="Flèche vers le bas 588"/>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590" name="Flèche vers le bas 58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591" name="Flèche vers le bas 590"/>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592" name="Flèche vers le bas 59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593" name="Flèche vers le bas 592"/>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594" name="Flèche vers le bas 59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595" name="Flèche vers le bas 594"/>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596" name="Flèche vers le bas 59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597" name="Flèche vers le bas 596"/>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598" name="Flèche vers le bas 59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599" name="Flèche vers le bas 598"/>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600" name="Flèche vers le bas 59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601" name="Flèche vers le bas 600"/>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602" name="Flèche vers le bas 60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603" name="Flèche vers le bas 602"/>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604" name="Flèche vers le bas 60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605" name="Flèche vers le bas 604"/>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606" name="Flèche vers le bas 60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607" name="Flèche vers le bas 606"/>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608" name="Flèche vers le bas 60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609" name="Flèche vers le bas 608"/>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610" name="Flèche vers le bas 60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611" name="Flèche vers le bas 610"/>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612" name="Flèche vers le bas 61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613" name="Flèche vers le bas 612"/>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614" name="Flèche vers le bas 61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615" name="Flèche vers le bas 614"/>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616" name="Flèche vers le bas 61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617" name="Flèche vers le bas 616"/>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618" name="Flèche vers le bas 61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619" name="Flèche vers le bas 618"/>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620" name="Flèche vers le bas 61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621" name="Flèche vers le bas 620"/>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622" name="Flèche vers le bas 62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623" name="Flèche vers le bas 622"/>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624" name="Flèche vers le bas 62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625" name="Flèche vers le bas 624"/>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626" name="Flèche vers le bas 62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627" name="Flèche vers le bas 626"/>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628" name="Flèche vers le bas 62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629" name="Flèche vers le bas 628"/>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630" name="Flèche vers le bas 62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631" name="Flèche vers le bas 630"/>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632" name="Flèche vers le bas 63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633" name="Flèche vers le bas 632"/>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634" name="Flèche vers le bas 63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635" name="Flèche vers le bas 634"/>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636" name="Flèche vers le bas 63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637" name="Flèche vers le bas 636"/>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638" name="Flèche vers le bas 63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639" name="Flèche vers le bas 638"/>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640" name="Flèche vers le bas 63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641" name="Flèche vers le bas 640"/>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642" name="Flèche vers le bas 64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643" name="Flèche vers le bas 642"/>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644" name="Flèche vers le bas 64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645" name="Flèche vers le bas 644"/>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646" name="Flèche vers le bas 64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647" name="Flèche vers le bas 646"/>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648" name="Flèche vers le bas 64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649" name="Flèche vers le bas 648"/>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650" name="Flèche vers le bas 64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651" name="Flèche vers le bas 650"/>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652" name="Flèche vers le bas 65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653" name="Flèche vers le bas 652"/>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654" name="Flèche vers le bas 65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655" name="Flèche vers le bas 654"/>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656" name="Flèche vers le bas 65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657" name="Flèche vers le bas 656"/>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658" name="Flèche vers le bas 65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659" name="Flèche vers le bas 658"/>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660" name="Flèche vers le bas 65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661" name="Flèche vers le bas 660"/>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662" name="Flèche vers le bas 66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663" name="Flèche vers le bas 662"/>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664" name="Flèche vers le bas 66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665" name="Flèche vers le bas 664"/>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666" name="Flèche vers le bas 66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667" name="Flèche vers le bas 666"/>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38</xdr:row>
      <xdr:rowOff>313765</xdr:rowOff>
    </xdr:from>
    <xdr:to>
      <xdr:col>0</xdr:col>
      <xdr:colOff>1165413</xdr:colOff>
      <xdr:row>39</xdr:row>
      <xdr:rowOff>44824</xdr:rowOff>
    </xdr:to>
    <xdr:sp macro="" textlink="">
      <xdr:nvSpPr>
        <xdr:cNvPr id="668" name="Flèche vers le bas 66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38</xdr:row>
      <xdr:rowOff>313765</xdr:rowOff>
    </xdr:from>
    <xdr:to>
      <xdr:col>0</xdr:col>
      <xdr:colOff>1165413</xdr:colOff>
      <xdr:row>39</xdr:row>
      <xdr:rowOff>44824</xdr:rowOff>
    </xdr:to>
    <xdr:sp macro="" textlink="">
      <xdr:nvSpPr>
        <xdr:cNvPr id="669" name="Flèche vers le bas 668"/>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38</xdr:row>
      <xdr:rowOff>313765</xdr:rowOff>
    </xdr:from>
    <xdr:to>
      <xdr:col>0</xdr:col>
      <xdr:colOff>1165413</xdr:colOff>
      <xdr:row>39</xdr:row>
      <xdr:rowOff>44824</xdr:rowOff>
    </xdr:to>
    <xdr:sp macro="" textlink="">
      <xdr:nvSpPr>
        <xdr:cNvPr id="670" name="Flèche vers le bas 66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38</xdr:row>
      <xdr:rowOff>313765</xdr:rowOff>
    </xdr:from>
    <xdr:to>
      <xdr:col>0</xdr:col>
      <xdr:colOff>1165413</xdr:colOff>
      <xdr:row>39</xdr:row>
      <xdr:rowOff>44824</xdr:rowOff>
    </xdr:to>
    <xdr:sp macro="" textlink="">
      <xdr:nvSpPr>
        <xdr:cNvPr id="671" name="Flèche vers le bas 670"/>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39</xdr:row>
      <xdr:rowOff>313765</xdr:rowOff>
    </xdr:from>
    <xdr:to>
      <xdr:col>0</xdr:col>
      <xdr:colOff>1165413</xdr:colOff>
      <xdr:row>40</xdr:row>
      <xdr:rowOff>44824</xdr:rowOff>
    </xdr:to>
    <xdr:sp macro="" textlink="">
      <xdr:nvSpPr>
        <xdr:cNvPr id="672" name="Flèche vers le bas 67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39</xdr:row>
      <xdr:rowOff>313765</xdr:rowOff>
    </xdr:from>
    <xdr:to>
      <xdr:col>0</xdr:col>
      <xdr:colOff>1165413</xdr:colOff>
      <xdr:row>40</xdr:row>
      <xdr:rowOff>44824</xdr:rowOff>
    </xdr:to>
    <xdr:sp macro="" textlink="">
      <xdr:nvSpPr>
        <xdr:cNvPr id="673" name="Flèche vers le bas 672"/>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39</xdr:row>
      <xdr:rowOff>313765</xdr:rowOff>
    </xdr:from>
    <xdr:to>
      <xdr:col>0</xdr:col>
      <xdr:colOff>1165413</xdr:colOff>
      <xdr:row>40</xdr:row>
      <xdr:rowOff>44824</xdr:rowOff>
    </xdr:to>
    <xdr:sp macro="" textlink="">
      <xdr:nvSpPr>
        <xdr:cNvPr id="674" name="Flèche vers le bas 67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39</xdr:row>
      <xdr:rowOff>313765</xdr:rowOff>
    </xdr:from>
    <xdr:to>
      <xdr:col>0</xdr:col>
      <xdr:colOff>1165413</xdr:colOff>
      <xdr:row>40</xdr:row>
      <xdr:rowOff>44824</xdr:rowOff>
    </xdr:to>
    <xdr:sp macro="" textlink="">
      <xdr:nvSpPr>
        <xdr:cNvPr id="675" name="Flèche vers le bas 674"/>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40</xdr:row>
      <xdr:rowOff>313765</xdr:rowOff>
    </xdr:from>
    <xdr:to>
      <xdr:col>0</xdr:col>
      <xdr:colOff>1165413</xdr:colOff>
      <xdr:row>41</xdr:row>
      <xdr:rowOff>44824</xdr:rowOff>
    </xdr:to>
    <xdr:sp macro="" textlink="">
      <xdr:nvSpPr>
        <xdr:cNvPr id="676" name="Flèche vers le bas 67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40</xdr:row>
      <xdr:rowOff>313765</xdr:rowOff>
    </xdr:from>
    <xdr:to>
      <xdr:col>0</xdr:col>
      <xdr:colOff>1165413</xdr:colOff>
      <xdr:row>41</xdr:row>
      <xdr:rowOff>44824</xdr:rowOff>
    </xdr:to>
    <xdr:sp macro="" textlink="">
      <xdr:nvSpPr>
        <xdr:cNvPr id="677" name="Flèche vers le bas 676"/>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40</xdr:row>
      <xdr:rowOff>313765</xdr:rowOff>
    </xdr:from>
    <xdr:to>
      <xdr:col>0</xdr:col>
      <xdr:colOff>1165413</xdr:colOff>
      <xdr:row>41</xdr:row>
      <xdr:rowOff>44824</xdr:rowOff>
    </xdr:to>
    <xdr:sp macro="" textlink="">
      <xdr:nvSpPr>
        <xdr:cNvPr id="678" name="Flèche vers le bas 67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40</xdr:row>
      <xdr:rowOff>313765</xdr:rowOff>
    </xdr:from>
    <xdr:to>
      <xdr:col>0</xdr:col>
      <xdr:colOff>1165413</xdr:colOff>
      <xdr:row>41</xdr:row>
      <xdr:rowOff>44824</xdr:rowOff>
    </xdr:to>
    <xdr:sp macro="" textlink="">
      <xdr:nvSpPr>
        <xdr:cNvPr id="679" name="Flèche vers le bas 678"/>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41</xdr:row>
      <xdr:rowOff>313765</xdr:rowOff>
    </xdr:from>
    <xdr:to>
      <xdr:col>0</xdr:col>
      <xdr:colOff>1165413</xdr:colOff>
      <xdr:row>42</xdr:row>
      <xdr:rowOff>44824</xdr:rowOff>
    </xdr:to>
    <xdr:sp macro="" textlink="">
      <xdr:nvSpPr>
        <xdr:cNvPr id="680" name="Flèche vers le bas 67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41</xdr:row>
      <xdr:rowOff>313765</xdr:rowOff>
    </xdr:from>
    <xdr:to>
      <xdr:col>0</xdr:col>
      <xdr:colOff>1165413</xdr:colOff>
      <xdr:row>42</xdr:row>
      <xdr:rowOff>44824</xdr:rowOff>
    </xdr:to>
    <xdr:sp macro="" textlink="">
      <xdr:nvSpPr>
        <xdr:cNvPr id="681" name="Flèche vers le bas 680"/>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41</xdr:row>
      <xdr:rowOff>313765</xdr:rowOff>
    </xdr:from>
    <xdr:to>
      <xdr:col>0</xdr:col>
      <xdr:colOff>1165413</xdr:colOff>
      <xdr:row>42</xdr:row>
      <xdr:rowOff>44824</xdr:rowOff>
    </xdr:to>
    <xdr:sp macro="" textlink="">
      <xdr:nvSpPr>
        <xdr:cNvPr id="682" name="Flèche vers le bas 68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41</xdr:row>
      <xdr:rowOff>313765</xdr:rowOff>
    </xdr:from>
    <xdr:to>
      <xdr:col>0</xdr:col>
      <xdr:colOff>1165413</xdr:colOff>
      <xdr:row>42</xdr:row>
      <xdr:rowOff>44824</xdr:rowOff>
    </xdr:to>
    <xdr:sp macro="" textlink="">
      <xdr:nvSpPr>
        <xdr:cNvPr id="683" name="Flèche vers le bas 682"/>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42</xdr:row>
      <xdr:rowOff>313765</xdr:rowOff>
    </xdr:from>
    <xdr:to>
      <xdr:col>0</xdr:col>
      <xdr:colOff>1165413</xdr:colOff>
      <xdr:row>43</xdr:row>
      <xdr:rowOff>44824</xdr:rowOff>
    </xdr:to>
    <xdr:sp macro="" textlink="">
      <xdr:nvSpPr>
        <xdr:cNvPr id="684" name="Flèche vers le bas 68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42</xdr:row>
      <xdr:rowOff>313765</xdr:rowOff>
    </xdr:from>
    <xdr:to>
      <xdr:col>0</xdr:col>
      <xdr:colOff>1165413</xdr:colOff>
      <xdr:row>43</xdr:row>
      <xdr:rowOff>44824</xdr:rowOff>
    </xdr:to>
    <xdr:sp macro="" textlink="">
      <xdr:nvSpPr>
        <xdr:cNvPr id="685" name="Flèche vers le bas 684"/>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42</xdr:row>
      <xdr:rowOff>313765</xdr:rowOff>
    </xdr:from>
    <xdr:to>
      <xdr:col>0</xdr:col>
      <xdr:colOff>1165413</xdr:colOff>
      <xdr:row>43</xdr:row>
      <xdr:rowOff>44824</xdr:rowOff>
    </xdr:to>
    <xdr:sp macro="" textlink="">
      <xdr:nvSpPr>
        <xdr:cNvPr id="686" name="Flèche vers le bas 68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42</xdr:row>
      <xdr:rowOff>313765</xdr:rowOff>
    </xdr:from>
    <xdr:to>
      <xdr:col>0</xdr:col>
      <xdr:colOff>1165413</xdr:colOff>
      <xdr:row>43</xdr:row>
      <xdr:rowOff>44824</xdr:rowOff>
    </xdr:to>
    <xdr:sp macro="" textlink="">
      <xdr:nvSpPr>
        <xdr:cNvPr id="687" name="Flèche vers le bas 686"/>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43</xdr:row>
      <xdr:rowOff>313765</xdr:rowOff>
    </xdr:from>
    <xdr:to>
      <xdr:col>0</xdr:col>
      <xdr:colOff>1165413</xdr:colOff>
      <xdr:row>44</xdr:row>
      <xdr:rowOff>44824</xdr:rowOff>
    </xdr:to>
    <xdr:sp macro="" textlink="">
      <xdr:nvSpPr>
        <xdr:cNvPr id="688" name="Flèche vers le bas 68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43</xdr:row>
      <xdr:rowOff>313765</xdr:rowOff>
    </xdr:from>
    <xdr:to>
      <xdr:col>0</xdr:col>
      <xdr:colOff>1165413</xdr:colOff>
      <xdr:row>44</xdr:row>
      <xdr:rowOff>44824</xdr:rowOff>
    </xdr:to>
    <xdr:sp macro="" textlink="">
      <xdr:nvSpPr>
        <xdr:cNvPr id="689" name="Flèche vers le bas 688"/>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43</xdr:row>
      <xdr:rowOff>313765</xdr:rowOff>
    </xdr:from>
    <xdr:to>
      <xdr:col>0</xdr:col>
      <xdr:colOff>1165413</xdr:colOff>
      <xdr:row>44</xdr:row>
      <xdr:rowOff>44824</xdr:rowOff>
    </xdr:to>
    <xdr:sp macro="" textlink="">
      <xdr:nvSpPr>
        <xdr:cNvPr id="690" name="Flèche vers le bas 68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43</xdr:row>
      <xdr:rowOff>313765</xdr:rowOff>
    </xdr:from>
    <xdr:to>
      <xdr:col>0</xdr:col>
      <xdr:colOff>1165413</xdr:colOff>
      <xdr:row>44</xdr:row>
      <xdr:rowOff>44824</xdr:rowOff>
    </xdr:to>
    <xdr:sp macro="" textlink="">
      <xdr:nvSpPr>
        <xdr:cNvPr id="691" name="Flèche vers le bas 690"/>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44</xdr:row>
      <xdr:rowOff>313765</xdr:rowOff>
    </xdr:from>
    <xdr:to>
      <xdr:col>0</xdr:col>
      <xdr:colOff>1165413</xdr:colOff>
      <xdr:row>45</xdr:row>
      <xdr:rowOff>44824</xdr:rowOff>
    </xdr:to>
    <xdr:sp macro="" textlink="">
      <xdr:nvSpPr>
        <xdr:cNvPr id="692" name="Flèche vers le bas 69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44</xdr:row>
      <xdr:rowOff>313765</xdr:rowOff>
    </xdr:from>
    <xdr:to>
      <xdr:col>0</xdr:col>
      <xdr:colOff>1165413</xdr:colOff>
      <xdr:row>45</xdr:row>
      <xdr:rowOff>44824</xdr:rowOff>
    </xdr:to>
    <xdr:sp macro="" textlink="">
      <xdr:nvSpPr>
        <xdr:cNvPr id="693" name="Flèche vers le bas 692"/>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44</xdr:row>
      <xdr:rowOff>313765</xdr:rowOff>
    </xdr:from>
    <xdr:to>
      <xdr:col>0</xdr:col>
      <xdr:colOff>1165413</xdr:colOff>
      <xdr:row>45</xdr:row>
      <xdr:rowOff>44824</xdr:rowOff>
    </xdr:to>
    <xdr:sp macro="" textlink="">
      <xdr:nvSpPr>
        <xdr:cNvPr id="694" name="Flèche vers le bas 69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44</xdr:row>
      <xdr:rowOff>313765</xdr:rowOff>
    </xdr:from>
    <xdr:to>
      <xdr:col>0</xdr:col>
      <xdr:colOff>1165413</xdr:colOff>
      <xdr:row>45</xdr:row>
      <xdr:rowOff>44824</xdr:rowOff>
    </xdr:to>
    <xdr:sp macro="" textlink="">
      <xdr:nvSpPr>
        <xdr:cNvPr id="695" name="Flèche vers le bas 694"/>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45</xdr:row>
      <xdr:rowOff>313765</xdr:rowOff>
    </xdr:from>
    <xdr:to>
      <xdr:col>0</xdr:col>
      <xdr:colOff>1165413</xdr:colOff>
      <xdr:row>46</xdr:row>
      <xdr:rowOff>44824</xdr:rowOff>
    </xdr:to>
    <xdr:sp macro="" textlink="">
      <xdr:nvSpPr>
        <xdr:cNvPr id="696" name="Flèche vers le bas 69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45</xdr:row>
      <xdr:rowOff>313765</xdr:rowOff>
    </xdr:from>
    <xdr:to>
      <xdr:col>0</xdr:col>
      <xdr:colOff>1165413</xdr:colOff>
      <xdr:row>46</xdr:row>
      <xdr:rowOff>44824</xdr:rowOff>
    </xdr:to>
    <xdr:sp macro="" textlink="">
      <xdr:nvSpPr>
        <xdr:cNvPr id="697" name="Flèche vers le bas 696"/>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45</xdr:row>
      <xdr:rowOff>313765</xdr:rowOff>
    </xdr:from>
    <xdr:to>
      <xdr:col>0</xdr:col>
      <xdr:colOff>1165413</xdr:colOff>
      <xdr:row>46</xdr:row>
      <xdr:rowOff>44824</xdr:rowOff>
    </xdr:to>
    <xdr:sp macro="" textlink="">
      <xdr:nvSpPr>
        <xdr:cNvPr id="698" name="Flèche vers le bas 69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45</xdr:row>
      <xdr:rowOff>313765</xdr:rowOff>
    </xdr:from>
    <xdr:to>
      <xdr:col>0</xdr:col>
      <xdr:colOff>1165413</xdr:colOff>
      <xdr:row>46</xdr:row>
      <xdr:rowOff>44824</xdr:rowOff>
    </xdr:to>
    <xdr:sp macro="" textlink="">
      <xdr:nvSpPr>
        <xdr:cNvPr id="699" name="Flèche vers le bas 698"/>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46</xdr:row>
      <xdr:rowOff>313765</xdr:rowOff>
    </xdr:from>
    <xdr:to>
      <xdr:col>0</xdr:col>
      <xdr:colOff>1165413</xdr:colOff>
      <xdr:row>47</xdr:row>
      <xdr:rowOff>44824</xdr:rowOff>
    </xdr:to>
    <xdr:sp macro="" textlink="">
      <xdr:nvSpPr>
        <xdr:cNvPr id="700" name="Flèche vers le bas 69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46</xdr:row>
      <xdr:rowOff>313765</xdr:rowOff>
    </xdr:from>
    <xdr:to>
      <xdr:col>0</xdr:col>
      <xdr:colOff>1165413</xdr:colOff>
      <xdr:row>47</xdr:row>
      <xdr:rowOff>44824</xdr:rowOff>
    </xdr:to>
    <xdr:sp macro="" textlink="">
      <xdr:nvSpPr>
        <xdr:cNvPr id="701" name="Flèche vers le bas 700"/>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46</xdr:row>
      <xdr:rowOff>313765</xdr:rowOff>
    </xdr:from>
    <xdr:to>
      <xdr:col>0</xdr:col>
      <xdr:colOff>1165413</xdr:colOff>
      <xdr:row>47</xdr:row>
      <xdr:rowOff>44824</xdr:rowOff>
    </xdr:to>
    <xdr:sp macro="" textlink="">
      <xdr:nvSpPr>
        <xdr:cNvPr id="702" name="Flèche vers le bas 70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46</xdr:row>
      <xdr:rowOff>313765</xdr:rowOff>
    </xdr:from>
    <xdr:to>
      <xdr:col>0</xdr:col>
      <xdr:colOff>1165413</xdr:colOff>
      <xdr:row>47</xdr:row>
      <xdr:rowOff>44824</xdr:rowOff>
    </xdr:to>
    <xdr:sp macro="" textlink="">
      <xdr:nvSpPr>
        <xdr:cNvPr id="703" name="Flèche vers le bas 702"/>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47</xdr:row>
      <xdr:rowOff>313765</xdr:rowOff>
    </xdr:from>
    <xdr:to>
      <xdr:col>0</xdr:col>
      <xdr:colOff>1165413</xdr:colOff>
      <xdr:row>48</xdr:row>
      <xdr:rowOff>44824</xdr:rowOff>
    </xdr:to>
    <xdr:sp macro="" textlink="">
      <xdr:nvSpPr>
        <xdr:cNvPr id="704" name="Flèche vers le bas 70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47</xdr:row>
      <xdr:rowOff>313765</xdr:rowOff>
    </xdr:from>
    <xdr:to>
      <xdr:col>0</xdr:col>
      <xdr:colOff>1165413</xdr:colOff>
      <xdr:row>48</xdr:row>
      <xdr:rowOff>44824</xdr:rowOff>
    </xdr:to>
    <xdr:sp macro="" textlink="">
      <xdr:nvSpPr>
        <xdr:cNvPr id="705" name="Flèche vers le bas 704"/>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47</xdr:row>
      <xdr:rowOff>313765</xdr:rowOff>
    </xdr:from>
    <xdr:to>
      <xdr:col>0</xdr:col>
      <xdr:colOff>1165413</xdr:colOff>
      <xdr:row>48</xdr:row>
      <xdr:rowOff>44824</xdr:rowOff>
    </xdr:to>
    <xdr:sp macro="" textlink="">
      <xdr:nvSpPr>
        <xdr:cNvPr id="706" name="Flèche vers le bas 70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47</xdr:row>
      <xdr:rowOff>313765</xdr:rowOff>
    </xdr:from>
    <xdr:to>
      <xdr:col>0</xdr:col>
      <xdr:colOff>1165413</xdr:colOff>
      <xdr:row>48</xdr:row>
      <xdr:rowOff>44824</xdr:rowOff>
    </xdr:to>
    <xdr:sp macro="" textlink="">
      <xdr:nvSpPr>
        <xdr:cNvPr id="707" name="Flèche vers le bas 706"/>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48</xdr:row>
      <xdr:rowOff>313765</xdr:rowOff>
    </xdr:from>
    <xdr:to>
      <xdr:col>0</xdr:col>
      <xdr:colOff>1165413</xdr:colOff>
      <xdr:row>49</xdr:row>
      <xdr:rowOff>44824</xdr:rowOff>
    </xdr:to>
    <xdr:sp macro="" textlink="">
      <xdr:nvSpPr>
        <xdr:cNvPr id="708" name="Flèche vers le bas 70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48</xdr:row>
      <xdr:rowOff>313765</xdr:rowOff>
    </xdr:from>
    <xdr:to>
      <xdr:col>0</xdr:col>
      <xdr:colOff>1165413</xdr:colOff>
      <xdr:row>49</xdr:row>
      <xdr:rowOff>44824</xdr:rowOff>
    </xdr:to>
    <xdr:sp macro="" textlink="">
      <xdr:nvSpPr>
        <xdr:cNvPr id="709" name="Flèche vers le bas 708"/>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48</xdr:row>
      <xdr:rowOff>313765</xdr:rowOff>
    </xdr:from>
    <xdr:to>
      <xdr:col>0</xdr:col>
      <xdr:colOff>1165413</xdr:colOff>
      <xdr:row>49</xdr:row>
      <xdr:rowOff>44824</xdr:rowOff>
    </xdr:to>
    <xdr:sp macro="" textlink="">
      <xdr:nvSpPr>
        <xdr:cNvPr id="710" name="Flèche vers le bas 70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48</xdr:row>
      <xdr:rowOff>313765</xdr:rowOff>
    </xdr:from>
    <xdr:to>
      <xdr:col>0</xdr:col>
      <xdr:colOff>1165413</xdr:colOff>
      <xdr:row>49</xdr:row>
      <xdr:rowOff>44824</xdr:rowOff>
    </xdr:to>
    <xdr:sp macro="" textlink="">
      <xdr:nvSpPr>
        <xdr:cNvPr id="711" name="Flèche vers le bas 710"/>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49</xdr:row>
      <xdr:rowOff>313765</xdr:rowOff>
    </xdr:from>
    <xdr:to>
      <xdr:col>0</xdr:col>
      <xdr:colOff>1165413</xdr:colOff>
      <xdr:row>50</xdr:row>
      <xdr:rowOff>44824</xdr:rowOff>
    </xdr:to>
    <xdr:sp macro="" textlink="">
      <xdr:nvSpPr>
        <xdr:cNvPr id="712" name="Flèche vers le bas 71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49</xdr:row>
      <xdr:rowOff>313765</xdr:rowOff>
    </xdr:from>
    <xdr:to>
      <xdr:col>0</xdr:col>
      <xdr:colOff>1165413</xdr:colOff>
      <xdr:row>50</xdr:row>
      <xdr:rowOff>44824</xdr:rowOff>
    </xdr:to>
    <xdr:sp macro="" textlink="">
      <xdr:nvSpPr>
        <xdr:cNvPr id="713" name="Flèche vers le bas 712"/>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49</xdr:row>
      <xdr:rowOff>313765</xdr:rowOff>
    </xdr:from>
    <xdr:to>
      <xdr:col>0</xdr:col>
      <xdr:colOff>1165413</xdr:colOff>
      <xdr:row>50</xdr:row>
      <xdr:rowOff>44824</xdr:rowOff>
    </xdr:to>
    <xdr:sp macro="" textlink="">
      <xdr:nvSpPr>
        <xdr:cNvPr id="714" name="Flèche vers le bas 71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49</xdr:row>
      <xdr:rowOff>313765</xdr:rowOff>
    </xdr:from>
    <xdr:to>
      <xdr:col>0</xdr:col>
      <xdr:colOff>1165413</xdr:colOff>
      <xdr:row>50</xdr:row>
      <xdr:rowOff>44824</xdr:rowOff>
    </xdr:to>
    <xdr:sp macro="" textlink="">
      <xdr:nvSpPr>
        <xdr:cNvPr id="715" name="Flèche vers le bas 714"/>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50</xdr:row>
      <xdr:rowOff>313765</xdr:rowOff>
    </xdr:from>
    <xdr:to>
      <xdr:col>0</xdr:col>
      <xdr:colOff>1165413</xdr:colOff>
      <xdr:row>51</xdr:row>
      <xdr:rowOff>44824</xdr:rowOff>
    </xdr:to>
    <xdr:sp macro="" textlink="">
      <xdr:nvSpPr>
        <xdr:cNvPr id="716" name="Flèche vers le bas 71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50</xdr:row>
      <xdr:rowOff>313765</xdr:rowOff>
    </xdr:from>
    <xdr:to>
      <xdr:col>0</xdr:col>
      <xdr:colOff>1165413</xdr:colOff>
      <xdr:row>51</xdr:row>
      <xdr:rowOff>44824</xdr:rowOff>
    </xdr:to>
    <xdr:sp macro="" textlink="">
      <xdr:nvSpPr>
        <xdr:cNvPr id="717" name="Flèche vers le bas 716"/>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50</xdr:row>
      <xdr:rowOff>313765</xdr:rowOff>
    </xdr:from>
    <xdr:to>
      <xdr:col>0</xdr:col>
      <xdr:colOff>1165413</xdr:colOff>
      <xdr:row>51</xdr:row>
      <xdr:rowOff>44824</xdr:rowOff>
    </xdr:to>
    <xdr:sp macro="" textlink="">
      <xdr:nvSpPr>
        <xdr:cNvPr id="718" name="Flèche vers le bas 71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50</xdr:row>
      <xdr:rowOff>313765</xdr:rowOff>
    </xdr:from>
    <xdr:to>
      <xdr:col>0</xdr:col>
      <xdr:colOff>1165413</xdr:colOff>
      <xdr:row>51</xdr:row>
      <xdr:rowOff>44824</xdr:rowOff>
    </xdr:to>
    <xdr:sp macro="" textlink="">
      <xdr:nvSpPr>
        <xdr:cNvPr id="719" name="Flèche vers le bas 718"/>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51</xdr:row>
      <xdr:rowOff>313765</xdr:rowOff>
    </xdr:from>
    <xdr:to>
      <xdr:col>0</xdr:col>
      <xdr:colOff>1165413</xdr:colOff>
      <xdr:row>52</xdr:row>
      <xdr:rowOff>44824</xdr:rowOff>
    </xdr:to>
    <xdr:sp macro="" textlink="">
      <xdr:nvSpPr>
        <xdr:cNvPr id="720" name="Flèche vers le bas 71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51</xdr:row>
      <xdr:rowOff>313765</xdr:rowOff>
    </xdr:from>
    <xdr:to>
      <xdr:col>0</xdr:col>
      <xdr:colOff>1165413</xdr:colOff>
      <xdr:row>52</xdr:row>
      <xdr:rowOff>44824</xdr:rowOff>
    </xdr:to>
    <xdr:sp macro="" textlink="">
      <xdr:nvSpPr>
        <xdr:cNvPr id="721" name="Flèche vers le bas 720"/>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51</xdr:row>
      <xdr:rowOff>313765</xdr:rowOff>
    </xdr:from>
    <xdr:to>
      <xdr:col>0</xdr:col>
      <xdr:colOff>1165413</xdr:colOff>
      <xdr:row>52</xdr:row>
      <xdr:rowOff>44824</xdr:rowOff>
    </xdr:to>
    <xdr:sp macro="" textlink="">
      <xdr:nvSpPr>
        <xdr:cNvPr id="722" name="Flèche vers le bas 72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51</xdr:row>
      <xdr:rowOff>313765</xdr:rowOff>
    </xdr:from>
    <xdr:to>
      <xdr:col>0</xdr:col>
      <xdr:colOff>1165413</xdr:colOff>
      <xdr:row>52</xdr:row>
      <xdr:rowOff>44824</xdr:rowOff>
    </xdr:to>
    <xdr:sp macro="" textlink="">
      <xdr:nvSpPr>
        <xdr:cNvPr id="723" name="Flèche vers le bas 722"/>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52</xdr:row>
      <xdr:rowOff>313765</xdr:rowOff>
    </xdr:from>
    <xdr:to>
      <xdr:col>0</xdr:col>
      <xdr:colOff>1165413</xdr:colOff>
      <xdr:row>53</xdr:row>
      <xdr:rowOff>44824</xdr:rowOff>
    </xdr:to>
    <xdr:sp macro="" textlink="">
      <xdr:nvSpPr>
        <xdr:cNvPr id="724" name="Flèche vers le bas 72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52</xdr:row>
      <xdr:rowOff>313765</xdr:rowOff>
    </xdr:from>
    <xdr:to>
      <xdr:col>0</xdr:col>
      <xdr:colOff>1165413</xdr:colOff>
      <xdr:row>53</xdr:row>
      <xdr:rowOff>44824</xdr:rowOff>
    </xdr:to>
    <xdr:sp macro="" textlink="">
      <xdr:nvSpPr>
        <xdr:cNvPr id="725" name="Flèche vers le bas 724"/>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52</xdr:row>
      <xdr:rowOff>313765</xdr:rowOff>
    </xdr:from>
    <xdr:to>
      <xdr:col>0</xdr:col>
      <xdr:colOff>1165413</xdr:colOff>
      <xdr:row>53</xdr:row>
      <xdr:rowOff>44824</xdr:rowOff>
    </xdr:to>
    <xdr:sp macro="" textlink="">
      <xdr:nvSpPr>
        <xdr:cNvPr id="726" name="Flèche vers le bas 72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52</xdr:row>
      <xdr:rowOff>313765</xdr:rowOff>
    </xdr:from>
    <xdr:to>
      <xdr:col>0</xdr:col>
      <xdr:colOff>1165413</xdr:colOff>
      <xdr:row>53</xdr:row>
      <xdr:rowOff>44824</xdr:rowOff>
    </xdr:to>
    <xdr:sp macro="" textlink="">
      <xdr:nvSpPr>
        <xdr:cNvPr id="727" name="Flèche vers le bas 726"/>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53</xdr:row>
      <xdr:rowOff>313765</xdr:rowOff>
    </xdr:from>
    <xdr:to>
      <xdr:col>0</xdr:col>
      <xdr:colOff>1165413</xdr:colOff>
      <xdr:row>54</xdr:row>
      <xdr:rowOff>44824</xdr:rowOff>
    </xdr:to>
    <xdr:sp macro="" textlink="">
      <xdr:nvSpPr>
        <xdr:cNvPr id="728" name="Flèche vers le bas 72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53</xdr:row>
      <xdr:rowOff>313765</xdr:rowOff>
    </xdr:from>
    <xdr:to>
      <xdr:col>0</xdr:col>
      <xdr:colOff>1165413</xdr:colOff>
      <xdr:row>54</xdr:row>
      <xdr:rowOff>44824</xdr:rowOff>
    </xdr:to>
    <xdr:sp macro="" textlink="">
      <xdr:nvSpPr>
        <xdr:cNvPr id="729" name="Flèche vers le bas 728"/>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53</xdr:row>
      <xdr:rowOff>313765</xdr:rowOff>
    </xdr:from>
    <xdr:to>
      <xdr:col>0</xdr:col>
      <xdr:colOff>1165413</xdr:colOff>
      <xdr:row>54</xdr:row>
      <xdr:rowOff>44824</xdr:rowOff>
    </xdr:to>
    <xdr:sp macro="" textlink="">
      <xdr:nvSpPr>
        <xdr:cNvPr id="730" name="Flèche vers le bas 72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53</xdr:row>
      <xdr:rowOff>313765</xdr:rowOff>
    </xdr:from>
    <xdr:to>
      <xdr:col>0</xdr:col>
      <xdr:colOff>1165413</xdr:colOff>
      <xdr:row>54</xdr:row>
      <xdr:rowOff>44824</xdr:rowOff>
    </xdr:to>
    <xdr:sp macro="" textlink="">
      <xdr:nvSpPr>
        <xdr:cNvPr id="731" name="Flèche vers le bas 730"/>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54</xdr:row>
      <xdr:rowOff>313765</xdr:rowOff>
    </xdr:from>
    <xdr:to>
      <xdr:col>0</xdr:col>
      <xdr:colOff>1165413</xdr:colOff>
      <xdr:row>55</xdr:row>
      <xdr:rowOff>44824</xdr:rowOff>
    </xdr:to>
    <xdr:sp macro="" textlink="">
      <xdr:nvSpPr>
        <xdr:cNvPr id="732" name="Flèche vers le bas 73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54</xdr:row>
      <xdr:rowOff>313765</xdr:rowOff>
    </xdr:from>
    <xdr:to>
      <xdr:col>0</xdr:col>
      <xdr:colOff>1165413</xdr:colOff>
      <xdr:row>55</xdr:row>
      <xdr:rowOff>44824</xdr:rowOff>
    </xdr:to>
    <xdr:sp macro="" textlink="">
      <xdr:nvSpPr>
        <xdr:cNvPr id="733" name="Flèche vers le bas 732"/>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54</xdr:row>
      <xdr:rowOff>313765</xdr:rowOff>
    </xdr:from>
    <xdr:to>
      <xdr:col>0</xdr:col>
      <xdr:colOff>1165413</xdr:colOff>
      <xdr:row>55</xdr:row>
      <xdr:rowOff>44824</xdr:rowOff>
    </xdr:to>
    <xdr:sp macro="" textlink="">
      <xdr:nvSpPr>
        <xdr:cNvPr id="734" name="Flèche vers le bas 73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54</xdr:row>
      <xdr:rowOff>313765</xdr:rowOff>
    </xdr:from>
    <xdr:to>
      <xdr:col>0</xdr:col>
      <xdr:colOff>1165413</xdr:colOff>
      <xdr:row>55</xdr:row>
      <xdr:rowOff>44824</xdr:rowOff>
    </xdr:to>
    <xdr:sp macro="" textlink="">
      <xdr:nvSpPr>
        <xdr:cNvPr id="735" name="Flèche vers le bas 734"/>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55</xdr:row>
      <xdr:rowOff>313765</xdr:rowOff>
    </xdr:from>
    <xdr:to>
      <xdr:col>0</xdr:col>
      <xdr:colOff>1165413</xdr:colOff>
      <xdr:row>56</xdr:row>
      <xdr:rowOff>44824</xdr:rowOff>
    </xdr:to>
    <xdr:sp macro="" textlink="">
      <xdr:nvSpPr>
        <xdr:cNvPr id="736" name="Flèche vers le bas 73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55</xdr:row>
      <xdr:rowOff>313765</xdr:rowOff>
    </xdr:from>
    <xdr:to>
      <xdr:col>0</xdr:col>
      <xdr:colOff>1165413</xdr:colOff>
      <xdr:row>56</xdr:row>
      <xdr:rowOff>44824</xdr:rowOff>
    </xdr:to>
    <xdr:sp macro="" textlink="">
      <xdr:nvSpPr>
        <xdr:cNvPr id="737" name="Flèche vers le bas 736"/>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55</xdr:row>
      <xdr:rowOff>313765</xdr:rowOff>
    </xdr:from>
    <xdr:to>
      <xdr:col>0</xdr:col>
      <xdr:colOff>1165413</xdr:colOff>
      <xdr:row>56</xdr:row>
      <xdr:rowOff>44824</xdr:rowOff>
    </xdr:to>
    <xdr:sp macro="" textlink="">
      <xdr:nvSpPr>
        <xdr:cNvPr id="738" name="Flèche vers le bas 73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55</xdr:row>
      <xdr:rowOff>313765</xdr:rowOff>
    </xdr:from>
    <xdr:to>
      <xdr:col>0</xdr:col>
      <xdr:colOff>1165413</xdr:colOff>
      <xdr:row>56</xdr:row>
      <xdr:rowOff>44824</xdr:rowOff>
    </xdr:to>
    <xdr:sp macro="" textlink="">
      <xdr:nvSpPr>
        <xdr:cNvPr id="739" name="Flèche vers le bas 738"/>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56</xdr:row>
      <xdr:rowOff>313765</xdr:rowOff>
    </xdr:from>
    <xdr:to>
      <xdr:col>0</xdr:col>
      <xdr:colOff>1165413</xdr:colOff>
      <xdr:row>57</xdr:row>
      <xdr:rowOff>44824</xdr:rowOff>
    </xdr:to>
    <xdr:sp macro="" textlink="">
      <xdr:nvSpPr>
        <xdr:cNvPr id="740" name="Flèche vers le bas 73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56</xdr:row>
      <xdr:rowOff>313765</xdr:rowOff>
    </xdr:from>
    <xdr:to>
      <xdr:col>0</xdr:col>
      <xdr:colOff>1165413</xdr:colOff>
      <xdr:row>57</xdr:row>
      <xdr:rowOff>44824</xdr:rowOff>
    </xdr:to>
    <xdr:sp macro="" textlink="">
      <xdr:nvSpPr>
        <xdr:cNvPr id="741" name="Flèche vers le bas 740"/>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56</xdr:row>
      <xdr:rowOff>313765</xdr:rowOff>
    </xdr:from>
    <xdr:to>
      <xdr:col>0</xdr:col>
      <xdr:colOff>1165413</xdr:colOff>
      <xdr:row>57</xdr:row>
      <xdr:rowOff>44824</xdr:rowOff>
    </xdr:to>
    <xdr:sp macro="" textlink="">
      <xdr:nvSpPr>
        <xdr:cNvPr id="742" name="Flèche vers le bas 74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56</xdr:row>
      <xdr:rowOff>313765</xdr:rowOff>
    </xdr:from>
    <xdr:to>
      <xdr:col>0</xdr:col>
      <xdr:colOff>1165413</xdr:colOff>
      <xdr:row>57</xdr:row>
      <xdr:rowOff>44824</xdr:rowOff>
    </xdr:to>
    <xdr:sp macro="" textlink="">
      <xdr:nvSpPr>
        <xdr:cNvPr id="743" name="Flèche vers le bas 742"/>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57</xdr:row>
      <xdr:rowOff>313765</xdr:rowOff>
    </xdr:from>
    <xdr:to>
      <xdr:col>0</xdr:col>
      <xdr:colOff>1165413</xdr:colOff>
      <xdr:row>58</xdr:row>
      <xdr:rowOff>44824</xdr:rowOff>
    </xdr:to>
    <xdr:sp macro="" textlink="">
      <xdr:nvSpPr>
        <xdr:cNvPr id="744" name="Flèche vers le bas 74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57</xdr:row>
      <xdr:rowOff>313765</xdr:rowOff>
    </xdr:from>
    <xdr:to>
      <xdr:col>0</xdr:col>
      <xdr:colOff>1165413</xdr:colOff>
      <xdr:row>58</xdr:row>
      <xdr:rowOff>44824</xdr:rowOff>
    </xdr:to>
    <xdr:sp macro="" textlink="">
      <xdr:nvSpPr>
        <xdr:cNvPr id="745" name="Flèche vers le bas 744"/>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57</xdr:row>
      <xdr:rowOff>313765</xdr:rowOff>
    </xdr:from>
    <xdr:to>
      <xdr:col>0</xdr:col>
      <xdr:colOff>1165413</xdr:colOff>
      <xdr:row>58</xdr:row>
      <xdr:rowOff>44824</xdr:rowOff>
    </xdr:to>
    <xdr:sp macro="" textlink="">
      <xdr:nvSpPr>
        <xdr:cNvPr id="746" name="Flèche vers le bas 74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57</xdr:row>
      <xdr:rowOff>313765</xdr:rowOff>
    </xdr:from>
    <xdr:to>
      <xdr:col>0</xdr:col>
      <xdr:colOff>1165413</xdr:colOff>
      <xdr:row>58</xdr:row>
      <xdr:rowOff>44824</xdr:rowOff>
    </xdr:to>
    <xdr:sp macro="" textlink="">
      <xdr:nvSpPr>
        <xdr:cNvPr id="747" name="Flèche vers le bas 746"/>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58</xdr:row>
      <xdr:rowOff>313765</xdr:rowOff>
    </xdr:from>
    <xdr:to>
      <xdr:col>0</xdr:col>
      <xdr:colOff>1165413</xdr:colOff>
      <xdr:row>59</xdr:row>
      <xdr:rowOff>44824</xdr:rowOff>
    </xdr:to>
    <xdr:sp macro="" textlink="">
      <xdr:nvSpPr>
        <xdr:cNvPr id="748" name="Flèche vers le bas 74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58</xdr:row>
      <xdr:rowOff>313765</xdr:rowOff>
    </xdr:from>
    <xdr:to>
      <xdr:col>0</xdr:col>
      <xdr:colOff>1165413</xdr:colOff>
      <xdr:row>59</xdr:row>
      <xdr:rowOff>44824</xdr:rowOff>
    </xdr:to>
    <xdr:sp macro="" textlink="">
      <xdr:nvSpPr>
        <xdr:cNvPr id="749" name="Flèche vers le bas 748"/>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58</xdr:row>
      <xdr:rowOff>313765</xdr:rowOff>
    </xdr:from>
    <xdr:to>
      <xdr:col>0</xdr:col>
      <xdr:colOff>1165413</xdr:colOff>
      <xdr:row>59</xdr:row>
      <xdr:rowOff>44824</xdr:rowOff>
    </xdr:to>
    <xdr:sp macro="" textlink="">
      <xdr:nvSpPr>
        <xdr:cNvPr id="750" name="Flèche vers le bas 74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58</xdr:row>
      <xdr:rowOff>313765</xdr:rowOff>
    </xdr:from>
    <xdr:to>
      <xdr:col>0</xdr:col>
      <xdr:colOff>1165413</xdr:colOff>
      <xdr:row>59</xdr:row>
      <xdr:rowOff>44824</xdr:rowOff>
    </xdr:to>
    <xdr:sp macro="" textlink="">
      <xdr:nvSpPr>
        <xdr:cNvPr id="751" name="Flèche vers le bas 750"/>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59</xdr:row>
      <xdr:rowOff>313765</xdr:rowOff>
    </xdr:from>
    <xdr:to>
      <xdr:col>0</xdr:col>
      <xdr:colOff>1165413</xdr:colOff>
      <xdr:row>60</xdr:row>
      <xdr:rowOff>44824</xdr:rowOff>
    </xdr:to>
    <xdr:sp macro="" textlink="">
      <xdr:nvSpPr>
        <xdr:cNvPr id="752" name="Flèche vers le bas 75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59</xdr:row>
      <xdr:rowOff>313765</xdr:rowOff>
    </xdr:from>
    <xdr:to>
      <xdr:col>0</xdr:col>
      <xdr:colOff>1165413</xdr:colOff>
      <xdr:row>60</xdr:row>
      <xdr:rowOff>44824</xdr:rowOff>
    </xdr:to>
    <xdr:sp macro="" textlink="">
      <xdr:nvSpPr>
        <xdr:cNvPr id="753" name="Flèche vers le bas 752"/>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59</xdr:row>
      <xdr:rowOff>313765</xdr:rowOff>
    </xdr:from>
    <xdr:to>
      <xdr:col>0</xdr:col>
      <xdr:colOff>1165413</xdr:colOff>
      <xdr:row>60</xdr:row>
      <xdr:rowOff>44824</xdr:rowOff>
    </xdr:to>
    <xdr:sp macro="" textlink="">
      <xdr:nvSpPr>
        <xdr:cNvPr id="754" name="Flèche vers le bas 75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59</xdr:row>
      <xdr:rowOff>313765</xdr:rowOff>
    </xdr:from>
    <xdr:to>
      <xdr:col>0</xdr:col>
      <xdr:colOff>1165413</xdr:colOff>
      <xdr:row>60</xdr:row>
      <xdr:rowOff>44824</xdr:rowOff>
    </xdr:to>
    <xdr:sp macro="" textlink="">
      <xdr:nvSpPr>
        <xdr:cNvPr id="755" name="Flèche vers le bas 754"/>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60</xdr:row>
      <xdr:rowOff>313765</xdr:rowOff>
    </xdr:from>
    <xdr:to>
      <xdr:col>0</xdr:col>
      <xdr:colOff>1165413</xdr:colOff>
      <xdr:row>61</xdr:row>
      <xdr:rowOff>44824</xdr:rowOff>
    </xdr:to>
    <xdr:sp macro="" textlink="">
      <xdr:nvSpPr>
        <xdr:cNvPr id="756" name="Flèche vers le bas 75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60</xdr:row>
      <xdr:rowOff>313765</xdr:rowOff>
    </xdr:from>
    <xdr:to>
      <xdr:col>0</xdr:col>
      <xdr:colOff>1165413</xdr:colOff>
      <xdr:row>61</xdr:row>
      <xdr:rowOff>44824</xdr:rowOff>
    </xdr:to>
    <xdr:sp macro="" textlink="">
      <xdr:nvSpPr>
        <xdr:cNvPr id="757" name="Flèche vers le bas 756"/>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60</xdr:row>
      <xdr:rowOff>313765</xdr:rowOff>
    </xdr:from>
    <xdr:to>
      <xdr:col>0</xdr:col>
      <xdr:colOff>1165413</xdr:colOff>
      <xdr:row>61</xdr:row>
      <xdr:rowOff>44824</xdr:rowOff>
    </xdr:to>
    <xdr:sp macro="" textlink="">
      <xdr:nvSpPr>
        <xdr:cNvPr id="758" name="Flèche vers le bas 75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60</xdr:row>
      <xdr:rowOff>313765</xdr:rowOff>
    </xdr:from>
    <xdr:to>
      <xdr:col>0</xdr:col>
      <xdr:colOff>1165413</xdr:colOff>
      <xdr:row>61</xdr:row>
      <xdr:rowOff>44824</xdr:rowOff>
    </xdr:to>
    <xdr:sp macro="" textlink="">
      <xdr:nvSpPr>
        <xdr:cNvPr id="759" name="Flèche vers le bas 758"/>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61</xdr:row>
      <xdr:rowOff>313765</xdr:rowOff>
    </xdr:from>
    <xdr:to>
      <xdr:col>0</xdr:col>
      <xdr:colOff>1165413</xdr:colOff>
      <xdr:row>62</xdr:row>
      <xdr:rowOff>44824</xdr:rowOff>
    </xdr:to>
    <xdr:sp macro="" textlink="">
      <xdr:nvSpPr>
        <xdr:cNvPr id="760" name="Flèche vers le bas 75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61</xdr:row>
      <xdr:rowOff>313765</xdr:rowOff>
    </xdr:from>
    <xdr:to>
      <xdr:col>0</xdr:col>
      <xdr:colOff>1165413</xdr:colOff>
      <xdr:row>62</xdr:row>
      <xdr:rowOff>44824</xdr:rowOff>
    </xdr:to>
    <xdr:sp macro="" textlink="">
      <xdr:nvSpPr>
        <xdr:cNvPr id="761" name="Flèche vers le bas 760"/>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61</xdr:row>
      <xdr:rowOff>313765</xdr:rowOff>
    </xdr:from>
    <xdr:to>
      <xdr:col>0</xdr:col>
      <xdr:colOff>1165413</xdr:colOff>
      <xdr:row>62</xdr:row>
      <xdr:rowOff>44824</xdr:rowOff>
    </xdr:to>
    <xdr:sp macro="" textlink="">
      <xdr:nvSpPr>
        <xdr:cNvPr id="762" name="Flèche vers le bas 76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61</xdr:row>
      <xdr:rowOff>313765</xdr:rowOff>
    </xdr:from>
    <xdr:to>
      <xdr:col>0</xdr:col>
      <xdr:colOff>1165413</xdr:colOff>
      <xdr:row>62</xdr:row>
      <xdr:rowOff>44824</xdr:rowOff>
    </xdr:to>
    <xdr:sp macro="" textlink="">
      <xdr:nvSpPr>
        <xdr:cNvPr id="763" name="Flèche vers le bas 762"/>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62</xdr:row>
      <xdr:rowOff>313765</xdr:rowOff>
    </xdr:from>
    <xdr:to>
      <xdr:col>0</xdr:col>
      <xdr:colOff>1165413</xdr:colOff>
      <xdr:row>63</xdr:row>
      <xdr:rowOff>44824</xdr:rowOff>
    </xdr:to>
    <xdr:sp macro="" textlink="">
      <xdr:nvSpPr>
        <xdr:cNvPr id="764" name="Flèche vers le bas 76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62</xdr:row>
      <xdr:rowOff>313765</xdr:rowOff>
    </xdr:from>
    <xdr:to>
      <xdr:col>0</xdr:col>
      <xdr:colOff>1165413</xdr:colOff>
      <xdr:row>63</xdr:row>
      <xdr:rowOff>44824</xdr:rowOff>
    </xdr:to>
    <xdr:sp macro="" textlink="">
      <xdr:nvSpPr>
        <xdr:cNvPr id="765" name="Flèche vers le bas 764"/>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62</xdr:row>
      <xdr:rowOff>313765</xdr:rowOff>
    </xdr:from>
    <xdr:to>
      <xdr:col>0</xdr:col>
      <xdr:colOff>1165413</xdr:colOff>
      <xdr:row>63</xdr:row>
      <xdr:rowOff>44824</xdr:rowOff>
    </xdr:to>
    <xdr:sp macro="" textlink="">
      <xdr:nvSpPr>
        <xdr:cNvPr id="766" name="Flèche vers le bas 76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62</xdr:row>
      <xdr:rowOff>313765</xdr:rowOff>
    </xdr:from>
    <xdr:to>
      <xdr:col>0</xdr:col>
      <xdr:colOff>1165413</xdr:colOff>
      <xdr:row>63</xdr:row>
      <xdr:rowOff>44824</xdr:rowOff>
    </xdr:to>
    <xdr:sp macro="" textlink="">
      <xdr:nvSpPr>
        <xdr:cNvPr id="767" name="Flèche vers le bas 766"/>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63</xdr:row>
      <xdr:rowOff>313765</xdr:rowOff>
    </xdr:from>
    <xdr:to>
      <xdr:col>0</xdr:col>
      <xdr:colOff>1165413</xdr:colOff>
      <xdr:row>64</xdr:row>
      <xdr:rowOff>44824</xdr:rowOff>
    </xdr:to>
    <xdr:sp macro="" textlink="">
      <xdr:nvSpPr>
        <xdr:cNvPr id="768" name="Flèche vers le bas 76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63</xdr:row>
      <xdr:rowOff>313765</xdr:rowOff>
    </xdr:from>
    <xdr:to>
      <xdr:col>0</xdr:col>
      <xdr:colOff>1165413</xdr:colOff>
      <xdr:row>64</xdr:row>
      <xdr:rowOff>44824</xdr:rowOff>
    </xdr:to>
    <xdr:sp macro="" textlink="">
      <xdr:nvSpPr>
        <xdr:cNvPr id="769" name="Flèche vers le bas 768"/>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63</xdr:row>
      <xdr:rowOff>313765</xdr:rowOff>
    </xdr:from>
    <xdr:to>
      <xdr:col>0</xdr:col>
      <xdr:colOff>1165413</xdr:colOff>
      <xdr:row>64</xdr:row>
      <xdr:rowOff>44824</xdr:rowOff>
    </xdr:to>
    <xdr:sp macro="" textlink="">
      <xdr:nvSpPr>
        <xdr:cNvPr id="770" name="Flèche vers le bas 76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63</xdr:row>
      <xdr:rowOff>313765</xdr:rowOff>
    </xdr:from>
    <xdr:to>
      <xdr:col>0</xdr:col>
      <xdr:colOff>1165413</xdr:colOff>
      <xdr:row>64</xdr:row>
      <xdr:rowOff>44824</xdr:rowOff>
    </xdr:to>
    <xdr:sp macro="" textlink="">
      <xdr:nvSpPr>
        <xdr:cNvPr id="771" name="Flèche vers le bas 770"/>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64</xdr:row>
      <xdr:rowOff>313765</xdr:rowOff>
    </xdr:from>
    <xdr:to>
      <xdr:col>0</xdr:col>
      <xdr:colOff>1165413</xdr:colOff>
      <xdr:row>65</xdr:row>
      <xdr:rowOff>44824</xdr:rowOff>
    </xdr:to>
    <xdr:sp macro="" textlink="">
      <xdr:nvSpPr>
        <xdr:cNvPr id="772" name="Flèche vers le bas 77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64</xdr:row>
      <xdr:rowOff>313765</xdr:rowOff>
    </xdr:from>
    <xdr:to>
      <xdr:col>0</xdr:col>
      <xdr:colOff>1165413</xdr:colOff>
      <xdr:row>65</xdr:row>
      <xdr:rowOff>44824</xdr:rowOff>
    </xdr:to>
    <xdr:sp macro="" textlink="">
      <xdr:nvSpPr>
        <xdr:cNvPr id="773" name="Flèche vers le bas 772"/>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64</xdr:row>
      <xdr:rowOff>313765</xdr:rowOff>
    </xdr:from>
    <xdr:to>
      <xdr:col>0</xdr:col>
      <xdr:colOff>1165413</xdr:colOff>
      <xdr:row>65</xdr:row>
      <xdr:rowOff>44824</xdr:rowOff>
    </xdr:to>
    <xdr:sp macro="" textlink="">
      <xdr:nvSpPr>
        <xdr:cNvPr id="774" name="Flèche vers le bas 77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64</xdr:row>
      <xdr:rowOff>313765</xdr:rowOff>
    </xdr:from>
    <xdr:to>
      <xdr:col>0</xdr:col>
      <xdr:colOff>1165413</xdr:colOff>
      <xdr:row>65</xdr:row>
      <xdr:rowOff>44824</xdr:rowOff>
    </xdr:to>
    <xdr:sp macro="" textlink="">
      <xdr:nvSpPr>
        <xdr:cNvPr id="775" name="Flèche vers le bas 774"/>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65</xdr:row>
      <xdr:rowOff>313765</xdr:rowOff>
    </xdr:from>
    <xdr:to>
      <xdr:col>0</xdr:col>
      <xdr:colOff>1165413</xdr:colOff>
      <xdr:row>66</xdr:row>
      <xdr:rowOff>44824</xdr:rowOff>
    </xdr:to>
    <xdr:sp macro="" textlink="">
      <xdr:nvSpPr>
        <xdr:cNvPr id="776" name="Flèche vers le bas 77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65</xdr:row>
      <xdr:rowOff>313765</xdr:rowOff>
    </xdr:from>
    <xdr:to>
      <xdr:col>0</xdr:col>
      <xdr:colOff>1165413</xdr:colOff>
      <xdr:row>66</xdr:row>
      <xdr:rowOff>44824</xdr:rowOff>
    </xdr:to>
    <xdr:sp macro="" textlink="">
      <xdr:nvSpPr>
        <xdr:cNvPr id="777" name="Flèche vers le bas 776"/>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65</xdr:row>
      <xdr:rowOff>313765</xdr:rowOff>
    </xdr:from>
    <xdr:to>
      <xdr:col>0</xdr:col>
      <xdr:colOff>1165413</xdr:colOff>
      <xdr:row>66</xdr:row>
      <xdr:rowOff>44824</xdr:rowOff>
    </xdr:to>
    <xdr:sp macro="" textlink="">
      <xdr:nvSpPr>
        <xdr:cNvPr id="778" name="Flèche vers le bas 77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65</xdr:row>
      <xdr:rowOff>313765</xdr:rowOff>
    </xdr:from>
    <xdr:to>
      <xdr:col>0</xdr:col>
      <xdr:colOff>1165413</xdr:colOff>
      <xdr:row>66</xdr:row>
      <xdr:rowOff>44824</xdr:rowOff>
    </xdr:to>
    <xdr:sp macro="" textlink="">
      <xdr:nvSpPr>
        <xdr:cNvPr id="779" name="Flèche vers le bas 778"/>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66</xdr:row>
      <xdr:rowOff>313765</xdr:rowOff>
    </xdr:from>
    <xdr:to>
      <xdr:col>0</xdr:col>
      <xdr:colOff>1165413</xdr:colOff>
      <xdr:row>67</xdr:row>
      <xdr:rowOff>44824</xdr:rowOff>
    </xdr:to>
    <xdr:sp macro="" textlink="">
      <xdr:nvSpPr>
        <xdr:cNvPr id="780" name="Flèche vers le bas 77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66</xdr:row>
      <xdr:rowOff>313765</xdr:rowOff>
    </xdr:from>
    <xdr:to>
      <xdr:col>0</xdr:col>
      <xdr:colOff>1165413</xdr:colOff>
      <xdr:row>67</xdr:row>
      <xdr:rowOff>44824</xdr:rowOff>
    </xdr:to>
    <xdr:sp macro="" textlink="">
      <xdr:nvSpPr>
        <xdr:cNvPr id="781" name="Flèche vers le bas 780"/>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66</xdr:row>
      <xdr:rowOff>313765</xdr:rowOff>
    </xdr:from>
    <xdr:to>
      <xdr:col>0</xdr:col>
      <xdr:colOff>1165413</xdr:colOff>
      <xdr:row>67</xdr:row>
      <xdr:rowOff>44824</xdr:rowOff>
    </xdr:to>
    <xdr:sp macro="" textlink="">
      <xdr:nvSpPr>
        <xdr:cNvPr id="782" name="Flèche vers le bas 78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66</xdr:row>
      <xdr:rowOff>313765</xdr:rowOff>
    </xdr:from>
    <xdr:to>
      <xdr:col>0</xdr:col>
      <xdr:colOff>1165413</xdr:colOff>
      <xdr:row>67</xdr:row>
      <xdr:rowOff>44824</xdr:rowOff>
    </xdr:to>
    <xdr:sp macro="" textlink="">
      <xdr:nvSpPr>
        <xdr:cNvPr id="783" name="Flèche vers le bas 782"/>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67</xdr:row>
      <xdr:rowOff>313765</xdr:rowOff>
    </xdr:from>
    <xdr:to>
      <xdr:col>0</xdr:col>
      <xdr:colOff>1165413</xdr:colOff>
      <xdr:row>68</xdr:row>
      <xdr:rowOff>44824</xdr:rowOff>
    </xdr:to>
    <xdr:sp macro="" textlink="">
      <xdr:nvSpPr>
        <xdr:cNvPr id="784" name="Flèche vers le bas 78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67</xdr:row>
      <xdr:rowOff>313765</xdr:rowOff>
    </xdr:from>
    <xdr:to>
      <xdr:col>0</xdr:col>
      <xdr:colOff>1165413</xdr:colOff>
      <xdr:row>68</xdr:row>
      <xdr:rowOff>44824</xdr:rowOff>
    </xdr:to>
    <xdr:sp macro="" textlink="">
      <xdr:nvSpPr>
        <xdr:cNvPr id="785" name="Flèche vers le bas 784"/>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67</xdr:row>
      <xdr:rowOff>313765</xdr:rowOff>
    </xdr:from>
    <xdr:to>
      <xdr:col>0</xdr:col>
      <xdr:colOff>1165413</xdr:colOff>
      <xdr:row>68</xdr:row>
      <xdr:rowOff>44824</xdr:rowOff>
    </xdr:to>
    <xdr:sp macro="" textlink="">
      <xdr:nvSpPr>
        <xdr:cNvPr id="786" name="Flèche vers le bas 78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67</xdr:row>
      <xdr:rowOff>313765</xdr:rowOff>
    </xdr:from>
    <xdr:to>
      <xdr:col>0</xdr:col>
      <xdr:colOff>1165413</xdr:colOff>
      <xdr:row>68</xdr:row>
      <xdr:rowOff>44824</xdr:rowOff>
    </xdr:to>
    <xdr:sp macro="" textlink="">
      <xdr:nvSpPr>
        <xdr:cNvPr id="787" name="Flèche vers le bas 786"/>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68</xdr:row>
      <xdr:rowOff>313765</xdr:rowOff>
    </xdr:from>
    <xdr:to>
      <xdr:col>0</xdr:col>
      <xdr:colOff>1165413</xdr:colOff>
      <xdr:row>69</xdr:row>
      <xdr:rowOff>44824</xdr:rowOff>
    </xdr:to>
    <xdr:sp macro="" textlink="">
      <xdr:nvSpPr>
        <xdr:cNvPr id="788" name="Flèche vers le bas 78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68</xdr:row>
      <xdr:rowOff>313765</xdr:rowOff>
    </xdr:from>
    <xdr:to>
      <xdr:col>0</xdr:col>
      <xdr:colOff>1165413</xdr:colOff>
      <xdr:row>69</xdr:row>
      <xdr:rowOff>44824</xdr:rowOff>
    </xdr:to>
    <xdr:sp macro="" textlink="">
      <xdr:nvSpPr>
        <xdr:cNvPr id="789" name="Flèche vers le bas 788"/>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68</xdr:row>
      <xdr:rowOff>313765</xdr:rowOff>
    </xdr:from>
    <xdr:to>
      <xdr:col>0</xdr:col>
      <xdr:colOff>1165413</xdr:colOff>
      <xdr:row>69</xdr:row>
      <xdr:rowOff>44824</xdr:rowOff>
    </xdr:to>
    <xdr:sp macro="" textlink="">
      <xdr:nvSpPr>
        <xdr:cNvPr id="790" name="Flèche vers le bas 78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68</xdr:row>
      <xdr:rowOff>313765</xdr:rowOff>
    </xdr:from>
    <xdr:to>
      <xdr:col>0</xdr:col>
      <xdr:colOff>1165413</xdr:colOff>
      <xdr:row>69</xdr:row>
      <xdr:rowOff>44824</xdr:rowOff>
    </xdr:to>
    <xdr:sp macro="" textlink="">
      <xdr:nvSpPr>
        <xdr:cNvPr id="791" name="Flèche vers le bas 790"/>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69</xdr:row>
      <xdr:rowOff>313765</xdr:rowOff>
    </xdr:from>
    <xdr:to>
      <xdr:col>0</xdr:col>
      <xdr:colOff>1165413</xdr:colOff>
      <xdr:row>70</xdr:row>
      <xdr:rowOff>44824</xdr:rowOff>
    </xdr:to>
    <xdr:sp macro="" textlink="">
      <xdr:nvSpPr>
        <xdr:cNvPr id="792" name="Flèche vers le bas 79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69</xdr:row>
      <xdr:rowOff>313765</xdr:rowOff>
    </xdr:from>
    <xdr:to>
      <xdr:col>0</xdr:col>
      <xdr:colOff>1165413</xdr:colOff>
      <xdr:row>70</xdr:row>
      <xdr:rowOff>44824</xdr:rowOff>
    </xdr:to>
    <xdr:sp macro="" textlink="">
      <xdr:nvSpPr>
        <xdr:cNvPr id="793" name="Flèche vers le bas 792"/>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69</xdr:row>
      <xdr:rowOff>313765</xdr:rowOff>
    </xdr:from>
    <xdr:to>
      <xdr:col>0</xdr:col>
      <xdr:colOff>1165413</xdr:colOff>
      <xdr:row>70</xdr:row>
      <xdr:rowOff>44824</xdr:rowOff>
    </xdr:to>
    <xdr:sp macro="" textlink="">
      <xdr:nvSpPr>
        <xdr:cNvPr id="794" name="Flèche vers le bas 79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69</xdr:row>
      <xdr:rowOff>313765</xdr:rowOff>
    </xdr:from>
    <xdr:to>
      <xdr:col>0</xdr:col>
      <xdr:colOff>1165413</xdr:colOff>
      <xdr:row>70</xdr:row>
      <xdr:rowOff>44824</xdr:rowOff>
    </xdr:to>
    <xdr:sp macro="" textlink="">
      <xdr:nvSpPr>
        <xdr:cNvPr id="795" name="Flèche vers le bas 794"/>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70</xdr:row>
      <xdr:rowOff>313765</xdr:rowOff>
    </xdr:from>
    <xdr:to>
      <xdr:col>0</xdr:col>
      <xdr:colOff>1165413</xdr:colOff>
      <xdr:row>71</xdr:row>
      <xdr:rowOff>44824</xdr:rowOff>
    </xdr:to>
    <xdr:sp macro="" textlink="">
      <xdr:nvSpPr>
        <xdr:cNvPr id="796" name="Flèche vers le bas 79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70</xdr:row>
      <xdr:rowOff>313765</xdr:rowOff>
    </xdr:from>
    <xdr:to>
      <xdr:col>0</xdr:col>
      <xdr:colOff>1165413</xdr:colOff>
      <xdr:row>71</xdr:row>
      <xdr:rowOff>44824</xdr:rowOff>
    </xdr:to>
    <xdr:sp macro="" textlink="">
      <xdr:nvSpPr>
        <xdr:cNvPr id="797" name="Flèche vers le bas 796"/>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70</xdr:row>
      <xdr:rowOff>313765</xdr:rowOff>
    </xdr:from>
    <xdr:to>
      <xdr:col>0</xdr:col>
      <xdr:colOff>1165413</xdr:colOff>
      <xdr:row>71</xdr:row>
      <xdr:rowOff>44824</xdr:rowOff>
    </xdr:to>
    <xdr:sp macro="" textlink="">
      <xdr:nvSpPr>
        <xdr:cNvPr id="798" name="Flèche vers le bas 79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70</xdr:row>
      <xdr:rowOff>313765</xdr:rowOff>
    </xdr:from>
    <xdr:to>
      <xdr:col>0</xdr:col>
      <xdr:colOff>1165413</xdr:colOff>
      <xdr:row>71</xdr:row>
      <xdr:rowOff>44824</xdr:rowOff>
    </xdr:to>
    <xdr:sp macro="" textlink="">
      <xdr:nvSpPr>
        <xdr:cNvPr id="799" name="Flèche vers le bas 798"/>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71</xdr:row>
      <xdr:rowOff>313765</xdr:rowOff>
    </xdr:from>
    <xdr:to>
      <xdr:col>0</xdr:col>
      <xdr:colOff>1165413</xdr:colOff>
      <xdr:row>72</xdr:row>
      <xdr:rowOff>44824</xdr:rowOff>
    </xdr:to>
    <xdr:sp macro="" textlink="">
      <xdr:nvSpPr>
        <xdr:cNvPr id="800" name="Flèche vers le bas 79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71</xdr:row>
      <xdr:rowOff>313765</xdr:rowOff>
    </xdr:from>
    <xdr:to>
      <xdr:col>0</xdr:col>
      <xdr:colOff>1165413</xdr:colOff>
      <xdr:row>72</xdr:row>
      <xdr:rowOff>44824</xdr:rowOff>
    </xdr:to>
    <xdr:sp macro="" textlink="">
      <xdr:nvSpPr>
        <xdr:cNvPr id="801" name="Flèche vers le bas 800"/>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71</xdr:row>
      <xdr:rowOff>313765</xdr:rowOff>
    </xdr:from>
    <xdr:to>
      <xdr:col>0</xdr:col>
      <xdr:colOff>1165413</xdr:colOff>
      <xdr:row>72</xdr:row>
      <xdr:rowOff>44824</xdr:rowOff>
    </xdr:to>
    <xdr:sp macro="" textlink="">
      <xdr:nvSpPr>
        <xdr:cNvPr id="802" name="Flèche vers le bas 80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71</xdr:row>
      <xdr:rowOff>313765</xdr:rowOff>
    </xdr:from>
    <xdr:to>
      <xdr:col>0</xdr:col>
      <xdr:colOff>1165413</xdr:colOff>
      <xdr:row>72</xdr:row>
      <xdr:rowOff>44824</xdr:rowOff>
    </xdr:to>
    <xdr:sp macro="" textlink="">
      <xdr:nvSpPr>
        <xdr:cNvPr id="803" name="Flèche vers le bas 802"/>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72</xdr:row>
      <xdr:rowOff>313765</xdr:rowOff>
    </xdr:from>
    <xdr:to>
      <xdr:col>0</xdr:col>
      <xdr:colOff>1165413</xdr:colOff>
      <xdr:row>73</xdr:row>
      <xdr:rowOff>44824</xdr:rowOff>
    </xdr:to>
    <xdr:sp macro="" textlink="">
      <xdr:nvSpPr>
        <xdr:cNvPr id="804" name="Flèche vers le bas 80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72</xdr:row>
      <xdr:rowOff>313765</xdr:rowOff>
    </xdr:from>
    <xdr:to>
      <xdr:col>0</xdr:col>
      <xdr:colOff>1165413</xdr:colOff>
      <xdr:row>73</xdr:row>
      <xdr:rowOff>44824</xdr:rowOff>
    </xdr:to>
    <xdr:sp macro="" textlink="">
      <xdr:nvSpPr>
        <xdr:cNvPr id="805" name="Flèche vers le bas 804"/>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72</xdr:row>
      <xdr:rowOff>313765</xdr:rowOff>
    </xdr:from>
    <xdr:to>
      <xdr:col>0</xdr:col>
      <xdr:colOff>1165413</xdr:colOff>
      <xdr:row>73</xdr:row>
      <xdr:rowOff>44824</xdr:rowOff>
    </xdr:to>
    <xdr:sp macro="" textlink="">
      <xdr:nvSpPr>
        <xdr:cNvPr id="806" name="Flèche vers le bas 80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72</xdr:row>
      <xdr:rowOff>313765</xdr:rowOff>
    </xdr:from>
    <xdr:to>
      <xdr:col>0</xdr:col>
      <xdr:colOff>1165413</xdr:colOff>
      <xdr:row>73</xdr:row>
      <xdr:rowOff>44824</xdr:rowOff>
    </xdr:to>
    <xdr:sp macro="" textlink="">
      <xdr:nvSpPr>
        <xdr:cNvPr id="807" name="Flèche vers le bas 806"/>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73</xdr:row>
      <xdr:rowOff>313765</xdr:rowOff>
    </xdr:from>
    <xdr:to>
      <xdr:col>0</xdr:col>
      <xdr:colOff>1165413</xdr:colOff>
      <xdr:row>74</xdr:row>
      <xdr:rowOff>44824</xdr:rowOff>
    </xdr:to>
    <xdr:sp macro="" textlink="">
      <xdr:nvSpPr>
        <xdr:cNvPr id="808" name="Flèche vers le bas 80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73</xdr:row>
      <xdr:rowOff>313765</xdr:rowOff>
    </xdr:from>
    <xdr:to>
      <xdr:col>0</xdr:col>
      <xdr:colOff>1165413</xdr:colOff>
      <xdr:row>74</xdr:row>
      <xdr:rowOff>44824</xdr:rowOff>
    </xdr:to>
    <xdr:sp macro="" textlink="">
      <xdr:nvSpPr>
        <xdr:cNvPr id="809" name="Flèche vers le bas 808"/>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73</xdr:row>
      <xdr:rowOff>313765</xdr:rowOff>
    </xdr:from>
    <xdr:to>
      <xdr:col>0</xdr:col>
      <xdr:colOff>1165413</xdr:colOff>
      <xdr:row>74</xdr:row>
      <xdr:rowOff>44824</xdr:rowOff>
    </xdr:to>
    <xdr:sp macro="" textlink="">
      <xdr:nvSpPr>
        <xdr:cNvPr id="810" name="Flèche vers le bas 80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73</xdr:row>
      <xdr:rowOff>313765</xdr:rowOff>
    </xdr:from>
    <xdr:to>
      <xdr:col>0</xdr:col>
      <xdr:colOff>1165413</xdr:colOff>
      <xdr:row>74</xdr:row>
      <xdr:rowOff>44824</xdr:rowOff>
    </xdr:to>
    <xdr:sp macro="" textlink="">
      <xdr:nvSpPr>
        <xdr:cNvPr id="811" name="Flèche vers le bas 810"/>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74</xdr:row>
      <xdr:rowOff>313765</xdr:rowOff>
    </xdr:from>
    <xdr:to>
      <xdr:col>0</xdr:col>
      <xdr:colOff>1165413</xdr:colOff>
      <xdr:row>75</xdr:row>
      <xdr:rowOff>44824</xdr:rowOff>
    </xdr:to>
    <xdr:sp macro="" textlink="">
      <xdr:nvSpPr>
        <xdr:cNvPr id="812" name="Flèche vers le bas 81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74</xdr:row>
      <xdr:rowOff>313765</xdr:rowOff>
    </xdr:from>
    <xdr:to>
      <xdr:col>0</xdr:col>
      <xdr:colOff>1165413</xdr:colOff>
      <xdr:row>75</xdr:row>
      <xdr:rowOff>44824</xdr:rowOff>
    </xdr:to>
    <xdr:sp macro="" textlink="">
      <xdr:nvSpPr>
        <xdr:cNvPr id="813" name="Flèche vers le bas 812"/>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74</xdr:row>
      <xdr:rowOff>313765</xdr:rowOff>
    </xdr:from>
    <xdr:to>
      <xdr:col>0</xdr:col>
      <xdr:colOff>1165413</xdr:colOff>
      <xdr:row>75</xdr:row>
      <xdr:rowOff>44824</xdr:rowOff>
    </xdr:to>
    <xdr:sp macro="" textlink="">
      <xdr:nvSpPr>
        <xdr:cNvPr id="814" name="Flèche vers le bas 81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74</xdr:row>
      <xdr:rowOff>313765</xdr:rowOff>
    </xdr:from>
    <xdr:to>
      <xdr:col>0</xdr:col>
      <xdr:colOff>1165413</xdr:colOff>
      <xdr:row>75</xdr:row>
      <xdr:rowOff>44824</xdr:rowOff>
    </xdr:to>
    <xdr:sp macro="" textlink="">
      <xdr:nvSpPr>
        <xdr:cNvPr id="815" name="Flèche vers le bas 814"/>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75</xdr:row>
      <xdr:rowOff>313765</xdr:rowOff>
    </xdr:from>
    <xdr:to>
      <xdr:col>0</xdr:col>
      <xdr:colOff>1165413</xdr:colOff>
      <xdr:row>76</xdr:row>
      <xdr:rowOff>44824</xdr:rowOff>
    </xdr:to>
    <xdr:sp macro="" textlink="">
      <xdr:nvSpPr>
        <xdr:cNvPr id="816" name="Flèche vers le bas 81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75</xdr:row>
      <xdr:rowOff>313765</xdr:rowOff>
    </xdr:from>
    <xdr:to>
      <xdr:col>0</xdr:col>
      <xdr:colOff>1165413</xdr:colOff>
      <xdr:row>76</xdr:row>
      <xdr:rowOff>44824</xdr:rowOff>
    </xdr:to>
    <xdr:sp macro="" textlink="">
      <xdr:nvSpPr>
        <xdr:cNvPr id="817" name="Flèche vers le bas 816"/>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75</xdr:row>
      <xdr:rowOff>313765</xdr:rowOff>
    </xdr:from>
    <xdr:to>
      <xdr:col>0</xdr:col>
      <xdr:colOff>1165413</xdr:colOff>
      <xdr:row>76</xdr:row>
      <xdr:rowOff>44824</xdr:rowOff>
    </xdr:to>
    <xdr:sp macro="" textlink="">
      <xdr:nvSpPr>
        <xdr:cNvPr id="818" name="Flèche vers le bas 81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75</xdr:row>
      <xdr:rowOff>313765</xdr:rowOff>
    </xdr:from>
    <xdr:to>
      <xdr:col>0</xdr:col>
      <xdr:colOff>1165413</xdr:colOff>
      <xdr:row>76</xdr:row>
      <xdr:rowOff>44824</xdr:rowOff>
    </xdr:to>
    <xdr:sp macro="" textlink="">
      <xdr:nvSpPr>
        <xdr:cNvPr id="819" name="Flèche vers le bas 818"/>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76</xdr:row>
      <xdr:rowOff>313765</xdr:rowOff>
    </xdr:from>
    <xdr:to>
      <xdr:col>0</xdr:col>
      <xdr:colOff>1165413</xdr:colOff>
      <xdr:row>77</xdr:row>
      <xdr:rowOff>44824</xdr:rowOff>
    </xdr:to>
    <xdr:sp macro="" textlink="">
      <xdr:nvSpPr>
        <xdr:cNvPr id="820" name="Flèche vers le bas 81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76</xdr:row>
      <xdr:rowOff>313765</xdr:rowOff>
    </xdr:from>
    <xdr:to>
      <xdr:col>0</xdr:col>
      <xdr:colOff>1165413</xdr:colOff>
      <xdr:row>77</xdr:row>
      <xdr:rowOff>44824</xdr:rowOff>
    </xdr:to>
    <xdr:sp macro="" textlink="">
      <xdr:nvSpPr>
        <xdr:cNvPr id="821" name="Flèche vers le bas 820"/>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76</xdr:row>
      <xdr:rowOff>313765</xdr:rowOff>
    </xdr:from>
    <xdr:to>
      <xdr:col>0</xdr:col>
      <xdr:colOff>1165413</xdr:colOff>
      <xdr:row>77</xdr:row>
      <xdr:rowOff>44824</xdr:rowOff>
    </xdr:to>
    <xdr:sp macro="" textlink="">
      <xdr:nvSpPr>
        <xdr:cNvPr id="822" name="Flèche vers le bas 82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76</xdr:row>
      <xdr:rowOff>313765</xdr:rowOff>
    </xdr:from>
    <xdr:to>
      <xdr:col>0</xdr:col>
      <xdr:colOff>1165413</xdr:colOff>
      <xdr:row>77</xdr:row>
      <xdr:rowOff>44824</xdr:rowOff>
    </xdr:to>
    <xdr:sp macro="" textlink="">
      <xdr:nvSpPr>
        <xdr:cNvPr id="823" name="Flèche vers le bas 822"/>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77</xdr:row>
      <xdr:rowOff>313765</xdr:rowOff>
    </xdr:from>
    <xdr:to>
      <xdr:col>0</xdr:col>
      <xdr:colOff>1165413</xdr:colOff>
      <xdr:row>78</xdr:row>
      <xdr:rowOff>44824</xdr:rowOff>
    </xdr:to>
    <xdr:sp macro="" textlink="">
      <xdr:nvSpPr>
        <xdr:cNvPr id="824" name="Flèche vers le bas 82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77</xdr:row>
      <xdr:rowOff>313765</xdr:rowOff>
    </xdr:from>
    <xdr:to>
      <xdr:col>0</xdr:col>
      <xdr:colOff>1165413</xdr:colOff>
      <xdr:row>78</xdr:row>
      <xdr:rowOff>44824</xdr:rowOff>
    </xdr:to>
    <xdr:sp macro="" textlink="">
      <xdr:nvSpPr>
        <xdr:cNvPr id="825" name="Flèche vers le bas 824"/>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77</xdr:row>
      <xdr:rowOff>313765</xdr:rowOff>
    </xdr:from>
    <xdr:to>
      <xdr:col>0</xdr:col>
      <xdr:colOff>1165413</xdr:colOff>
      <xdr:row>78</xdr:row>
      <xdr:rowOff>44824</xdr:rowOff>
    </xdr:to>
    <xdr:sp macro="" textlink="">
      <xdr:nvSpPr>
        <xdr:cNvPr id="826" name="Flèche vers le bas 82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77</xdr:row>
      <xdr:rowOff>313765</xdr:rowOff>
    </xdr:from>
    <xdr:to>
      <xdr:col>0</xdr:col>
      <xdr:colOff>1165413</xdr:colOff>
      <xdr:row>78</xdr:row>
      <xdr:rowOff>44824</xdr:rowOff>
    </xdr:to>
    <xdr:sp macro="" textlink="">
      <xdr:nvSpPr>
        <xdr:cNvPr id="827" name="Flèche vers le bas 826"/>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78</xdr:row>
      <xdr:rowOff>313765</xdr:rowOff>
    </xdr:from>
    <xdr:to>
      <xdr:col>0</xdr:col>
      <xdr:colOff>1165413</xdr:colOff>
      <xdr:row>79</xdr:row>
      <xdr:rowOff>44824</xdr:rowOff>
    </xdr:to>
    <xdr:sp macro="" textlink="">
      <xdr:nvSpPr>
        <xdr:cNvPr id="828" name="Flèche vers le bas 82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78</xdr:row>
      <xdr:rowOff>313765</xdr:rowOff>
    </xdr:from>
    <xdr:to>
      <xdr:col>0</xdr:col>
      <xdr:colOff>1165413</xdr:colOff>
      <xdr:row>79</xdr:row>
      <xdr:rowOff>44824</xdr:rowOff>
    </xdr:to>
    <xdr:sp macro="" textlink="">
      <xdr:nvSpPr>
        <xdr:cNvPr id="829" name="Flèche vers le bas 828"/>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78</xdr:row>
      <xdr:rowOff>313765</xdr:rowOff>
    </xdr:from>
    <xdr:to>
      <xdr:col>0</xdr:col>
      <xdr:colOff>1165413</xdr:colOff>
      <xdr:row>79</xdr:row>
      <xdr:rowOff>44824</xdr:rowOff>
    </xdr:to>
    <xdr:sp macro="" textlink="">
      <xdr:nvSpPr>
        <xdr:cNvPr id="830" name="Flèche vers le bas 82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78</xdr:row>
      <xdr:rowOff>313765</xdr:rowOff>
    </xdr:from>
    <xdr:to>
      <xdr:col>0</xdr:col>
      <xdr:colOff>1165413</xdr:colOff>
      <xdr:row>79</xdr:row>
      <xdr:rowOff>44824</xdr:rowOff>
    </xdr:to>
    <xdr:sp macro="" textlink="">
      <xdr:nvSpPr>
        <xdr:cNvPr id="831" name="Flèche vers le bas 830"/>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79</xdr:row>
      <xdr:rowOff>313765</xdr:rowOff>
    </xdr:from>
    <xdr:to>
      <xdr:col>0</xdr:col>
      <xdr:colOff>1165413</xdr:colOff>
      <xdr:row>80</xdr:row>
      <xdr:rowOff>44824</xdr:rowOff>
    </xdr:to>
    <xdr:sp macro="" textlink="">
      <xdr:nvSpPr>
        <xdr:cNvPr id="832" name="Flèche vers le bas 83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79</xdr:row>
      <xdr:rowOff>313765</xdr:rowOff>
    </xdr:from>
    <xdr:to>
      <xdr:col>0</xdr:col>
      <xdr:colOff>1165413</xdr:colOff>
      <xdr:row>80</xdr:row>
      <xdr:rowOff>44824</xdr:rowOff>
    </xdr:to>
    <xdr:sp macro="" textlink="">
      <xdr:nvSpPr>
        <xdr:cNvPr id="833" name="Flèche vers le bas 832"/>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79</xdr:row>
      <xdr:rowOff>313765</xdr:rowOff>
    </xdr:from>
    <xdr:to>
      <xdr:col>0</xdr:col>
      <xdr:colOff>1165413</xdr:colOff>
      <xdr:row>80</xdr:row>
      <xdr:rowOff>44824</xdr:rowOff>
    </xdr:to>
    <xdr:sp macro="" textlink="">
      <xdr:nvSpPr>
        <xdr:cNvPr id="834" name="Flèche vers le bas 83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79</xdr:row>
      <xdr:rowOff>313765</xdr:rowOff>
    </xdr:from>
    <xdr:to>
      <xdr:col>0</xdr:col>
      <xdr:colOff>1165413</xdr:colOff>
      <xdr:row>80</xdr:row>
      <xdr:rowOff>44824</xdr:rowOff>
    </xdr:to>
    <xdr:sp macro="" textlink="">
      <xdr:nvSpPr>
        <xdr:cNvPr id="835" name="Flèche vers le bas 834"/>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80</xdr:row>
      <xdr:rowOff>313765</xdr:rowOff>
    </xdr:from>
    <xdr:to>
      <xdr:col>0</xdr:col>
      <xdr:colOff>1165413</xdr:colOff>
      <xdr:row>81</xdr:row>
      <xdr:rowOff>44824</xdr:rowOff>
    </xdr:to>
    <xdr:sp macro="" textlink="">
      <xdr:nvSpPr>
        <xdr:cNvPr id="836" name="Flèche vers le bas 83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80</xdr:row>
      <xdr:rowOff>313765</xdr:rowOff>
    </xdr:from>
    <xdr:to>
      <xdr:col>0</xdr:col>
      <xdr:colOff>1165413</xdr:colOff>
      <xdr:row>81</xdr:row>
      <xdr:rowOff>44824</xdr:rowOff>
    </xdr:to>
    <xdr:sp macro="" textlink="">
      <xdr:nvSpPr>
        <xdr:cNvPr id="837" name="Flèche vers le bas 836"/>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80</xdr:row>
      <xdr:rowOff>313765</xdr:rowOff>
    </xdr:from>
    <xdr:to>
      <xdr:col>0</xdr:col>
      <xdr:colOff>1165413</xdr:colOff>
      <xdr:row>81</xdr:row>
      <xdr:rowOff>44824</xdr:rowOff>
    </xdr:to>
    <xdr:sp macro="" textlink="">
      <xdr:nvSpPr>
        <xdr:cNvPr id="838" name="Flèche vers le bas 83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80</xdr:row>
      <xdr:rowOff>313765</xdr:rowOff>
    </xdr:from>
    <xdr:to>
      <xdr:col>0</xdr:col>
      <xdr:colOff>1165413</xdr:colOff>
      <xdr:row>81</xdr:row>
      <xdr:rowOff>44824</xdr:rowOff>
    </xdr:to>
    <xdr:sp macro="" textlink="">
      <xdr:nvSpPr>
        <xdr:cNvPr id="839" name="Flèche vers le bas 838"/>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81</xdr:row>
      <xdr:rowOff>313765</xdr:rowOff>
    </xdr:from>
    <xdr:to>
      <xdr:col>0</xdr:col>
      <xdr:colOff>1165413</xdr:colOff>
      <xdr:row>82</xdr:row>
      <xdr:rowOff>44824</xdr:rowOff>
    </xdr:to>
    <xdr:sp macro="" textlink="">
      <xdr:nvSpPr>
        <xdr:cNvPr id="840" name="Flèche vers le bas 83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81</xdr:row>
      <xdr:rowOff>313765</xdr:rowOff>
    </xdr:from>
    <xdr:to>
      <xdr:col>0</xdr:col>
      <xdr:colOff>1165413</xdr:colOff>
      <xdr:row>82</xdr:row>
      <xdr:rowOff>44824</xdr:rowOff>
    </xdr:to>
    <xdr:sp macro="" textlink="">
      <xdr:nvSpPr>
        <xdr:cNvPr id="841" name="Flèche vers le bas 840"/>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81</xdr:row>
      <xdr:rowOff>313765</xdr:rowOff>
    </xdr:from>
    <xdr:to>
      <xdr:col>0</xdr:col>
      <xdr:colOff>1165413</xdr:colOff>
      <xdr:row>82</xdr:row>
      <xdr:rowOff>44824</xdr:rowOff>
    </xdr:to>
    <xdr:sp macro="" textlink="">
      <xdr:nvSpPr>
        <xdr:cNvPr id="842" name="Flèche vers le bas 84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81</xdr:row>
      <xdr:rowOff>313765</xdr:rowOff>
    </xdr:from>
    <xdr:to>
      <xdr:col>0</xdr:col>
      <xdr:colOff>1165413</xdr:colOff>
      <xdr:row>82</xdr:row>
      <xdr:rowOff>44824</xdr:rowOff>
    </xdr:to>
    <xdr:sp macro="" textlink="">
      <xdr:nvSpPr>
        <xdr:cNvPr id="843" name="Flèche vers le bas 842"/>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82</xdr:row>
      <xdr:rowOff>313765</xdr:rowOff>
    </xdr:from>
    <xdr:to>
      <xdr:col>0</xdr:col>
      <xdr:colOff>1165413</xdr:colOff>
      <xdr:row>83</xdr:row>
      <xdr:rowOff>44824</xdr:rowOff>
    </xdr:to>
    <xdr:sp macro="" textlink="">
      <xdr:nvSpPr>
        <xdr:cNvPr id="844" name="Flèche vers le bas 84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82</xdr:row>
      <xdr:rowOff>313765</xdr:rowOff>
    </xdr:from>
    <xdr:to>
      <xdr:col>0</xdr:col>
      <xdr:colOff>1165413</xdr:colOff>
      <xdr:row>83</xdr:row>
      <xdr:rowOff>44824</xdr:rowOff>
    </xdr:to>
    <xdr:sp macro="" textlink="">
      <xdr:nvSpPr>
        <xdr:cNvPr id="845" name="Flèche vers le bas 844"/>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82</xdr:row>
      <xdr:rowOff>313765</xdr:rowOff>
    </xdr:from>
    <xdr:to>
      <xdr:col>0</xdr:col>
      <xdr:colOff>1165413</xdr:colOff>
      <xdr:row>83</xdr:row>
      <xdr:rowOff>44824</xdr:rowOff>
    </xdr:to>
    <xdr:sp macro="" textlink="">
      <xdr:nvSpPr>
        <xdr:cNvPr id="846" name="Flèche vers le bas 84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82</xdr:row>
      <xdr:rowOff>313765</xdr:rowOff>
    </xdr:from>
    <xdr:to>
      <xdr:col>0</xdr:col>
      <xdr:colOff>1165413</xdr:colOff>
      <xdr:row>83</xdr:row>
      <xdr:rowOff>44824</xdr:rowOff>
    </xdr:to>
    <xdr:sp macro="" textlink="">
      <xdr:nvSpPr>
        <xdr:cNvPr id="847" name="Flèche vers le bas 846"/>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83</xdr:row>
      <xdr:rowOff>313765</xdr:rowOff>
    </xdr:from>
    <xdr:to>
      <xdr:col>0</xdr:col>
      <xdr:colOff>1165413</xdr:colOff>
      <xdr:row>84</xdr:row>
      <xdr:rowOff>44824</xdr:rowOff>
    </xdr:to>
    <xdr:sp macro="" textlink="">
      <xdr:nvSpPr>
        <xdr:cNvPr id="848" name="Flèche vers le bas 84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83</xdr:row>
      <xdr:rowOff>313765</xdr:rowOff>
    </xdr:from>
    <xdr:to>
      <xdr:col>0</xdr:col>
      <xdr:colOff>1165413</xdr:colOff>
      <xdr:row>84</xdr:row>
      <xdr:rowOff>44824</xdr:rowOff>
    </xdr:to>
    <xdr:sp macro="" textlink="">
      <xdr:nvSpPr>
        <xdr:cNvPr id="849" name="Flèche vers le bas 848"/>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83</xdr:row>
      <xdr:rowOff>313765</xdr:rowOff>
    </xdr:from>
    <xdr:to>
      <xdr:col>0</xdr:col>
      <xdr:colOff>1165413</xdr:colOff>
      <xdr:row>84</xdr:row>
      <xdr:rowOff>44824</xdr:rowOff>
    </xdr:to>
    <xdr:sp macro="" textlink="">
      <xdr:nvSpPr>
        <xdr:cNvPr id="850" name="Flèche vers le bas 84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83</xdr:row>
      <xdr:rowOff>313765</xdr:rowOff>
    </xdr:from>
    <xdr:to>
      <xdr:col>0</xdr:col>
      <xdr:colOff>1165413</xdr:colOff>
      <xdr:row>84</xdr:row>
      <xdr:rowOff>44824</xdr:rowOff>
    </xdr:to>
    <xdr:sp macro="" textlink="">
      <xdr:nvSpPr>
        <xdr:cNvPr id="851" name="Flèche vers le bas 850"/>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84</xdr:row>
      <xdr:rowOff>313765</xdr:rowOff>
    </xdr:from>
    <xdr:to>
      <xdr:col>0</xdr:col>
      <xdr:colOff>1165413</xdr:colOff>
      <xdr:row>85</xdr:row>
      <xdr:rowOff>44824</xdr:rowOff>
    </xdr:to>
    <xdr:sp macro="" textlink="">
      <xdr:nvSpPr>
        <xdr:cNvPr id="852" name="Flèche vers le bas 85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84</xdr:row>
      <xdr:rowOff>313765</xdr:rowOff>
    </xdr:from>
    <xdr:to>
      <xdr:col>0</xdr:col>
      <xdr:colOff>1165413</xdr:colOff>
      <xdr:row>85</xdr:row>
      <xdr:rowOff>44824</xdr:rowOff>
    </xdr:to>
    <xdr:sp macro="" textlink="">
      <xdr:nvSpPr>
        <xdr:cNvPr id="853" name="Flèche vers le bas 852"/>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84</xdr:row>
      <xdr:rowOff>313765</xdr:rowOff>
    </xdr:from>
    <xdr:to>
      <xdr:col>0</xdr:col>
      <xdr:colOff>1165413</xdr:colOff>
      <xdr:row>85</xdr:row>
      <xdr:rowOff>44824</xdr:rowOff>
    </xdr:to>
    <xdr:sp macro="" textlink="">
      <xdr:nvSpPr>
        <xdr:cNvPr id="854" name="Flèche vers le bas 85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84</xdr:row>
      <xdr:rowOff>313765</xdr:rowOff>
    </xdr:from>
    <xdr:to>
      <xdr:col>0</xdr:col>
      <xdr:colOff>1165413</xdr:colOff>
      <xdr:row>85</xdr:row>
      <xdr:rowOff>44824</xdr:rowOff>
    </xdr:to>
    <xdr:sp macro="" textlink="">
      <xdr:nvSpPr>
        <xdr:cNvPr id="855" name="Flèche vers le bas 854"/>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85</xdr:row>
      <xdr:rowOff>313765</xdr:rowOff>
    </xdr:from>
    <xdr:to>
      <xdr:col>0</xdr:col>
      <xdr:colOff>1165413</xdr:colOff>
      <xdr:row>86</xdr:row>
      <xdr:rowOff>44824</xdr:rowOff>
    </xdr:to>
    <xdr:sp macro="" textlink="">
      <xdr:nvSpPr>
        <xdr:cNvPr id="856" name="Flèche vers le bas 85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85</xdr:row>
      <xdr:rowOff>313765</xdr:rowOff>
    </xdr:from>
    <xdr:to>
      <xdr:col>0</xdr:col>
      <xdr:colOff>1165413</xdr:colOff>
      <xdr:row>86</xdr:row>
      <xdr:rowOff>44824</xdr:rowOff>
    </xdr:to>
    <xdr:sp macro="" textlink="">
      <xdr:nvSpPr>
        <xdr:cNvPr id="857" name="Flèche vers le bas 856"/>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85</xdr:row>
      <xdr:rowOff>313765</xdr:rowOff>
    </xdr:from>
    <xdr:to>
      <xdr:col>0</xdr:col>
      <xdr:colOff>1165413</xdr:colOff>
      <xdr:row>86</xdr:row>
      <xdr:rowOff>44824</xdr:rowOff>
    </xdr:to>
    <xdr:sp macro="" textlink="">
      <xdr:nvSpPr>
        <xdr:cNvPr id="858" name="Flèche vers le bas 85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85</xdr:row>
      <xdr:rowOff>313765</xdr:rowOff>
    </xdr:from>
    <xdr:to>
      <xdr:col>0</xdr:col>
      <xdr:colOff>1165413</xdr:colOff>
      <xdr:row>86</xdr:row>
      <xdr:rowOff>44824</xdr:rowOff>
    </xdr:to>
    <xdr:sp macro="" textlink="">
      <xdr:nvSpPr>
        <xdr:cNvPr id="859" name="Flèche vers le bas 858"/>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86</xdr:row>
      <xdr:rowOff>313765</xdr:rowOff>
    </xdr:from>
    <xdr:to>
      <xdr:col>0</xdr:col>
      <xdr:colOff>1165413</xdr:colOff>
      <xdr:row>87</xdr:row>
      <xdr:rowOff>44824</xdr:rowOff>
    </xdr:to>
    <xdr:sp macro="" textlink="">
      <xdr:nvSpPr>
        <xdr:cNvPr id="860" name="Flèche vers le bas 85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86</xdr:row>
      <xdr:rowOff>313765</xdr:rowOff>
    </xdr:from>
    <xdr:to>
      <xdr:col>0</xdr:col>
      <xdr:colOff>1165413</xdr:colOff>
      <xdr:row>87</xdr:row>
      <xdr:rowOff>44824</xdr:rowOff>
    </xdr:to>
    <xdr:sp macro="" textlink="">
      <xdr:nvSpPr>
        <xdr:cNvPr id="861" name="Flèche vers le bas 860"/>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86</xdr:row>
      <xdr:rowOff>313765</xdr:rowOff>
    </xdr:from>
    <xdr:to>
      <xdr:col>0</xdr:col>
      <xdr:colOff>1165413</xdr:colOff>
      <xdr:row>87</xdr:row>
      <xdr:rowOff>44824</xdr:rowOff>
    </xdr:to>
    <xdr:sp macro="" textlink="">
      <xdr:nvSpPr>
        <xdr:cNvPr id="862" name="Flèche vers le bas 86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86</xdr:row>
      <xdr:rowOff>313765</xdr:rowOff>
    </xdr:from>
    <xdr:to>
      <xdr:col>0</xdr:col>
      <xdr:colOff>1165413</xdr:colOff>
      <xdr:row>87</xdr:row>
      <xdr:rowOff>44824</xdr:rowOff>
    </xdr:to>
    <xdr:sp macro="" textlink="">
      <xdr:nvSpPr>
        <xdr:cNvPr id="863" name="Flèche vers le bas 862"/>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864" name="Flèche vers le bas 86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865" name="Flèche vers le bas 864"/>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866" name="Flèche vers le bas 86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867" name="Flèche vers le bas 866"/>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868" name="Flèche vers le bas 86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869" name="Flèche vers le bas 868"/>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870" name="Flèche vers le bas 86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871" name="Flèche vers le bas 870"/>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872" name="Flèche vers le bas 87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873" name="Flèche vers le bas 872"/>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874" name="Flèche vers le bas 87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875" name="Flèche vers le bas 874"/>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876" name="Flèche vers le bas 87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877" name="Flèche vers le bas 876"/>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878" name="Flèche vers le bas 87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879" name="Flèche vers le bas 878"/>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880" name="Flèche vers le bas 87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881" name="Flèche vers le bas 880"/>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882" name="Flèche vers le bas 88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883" name="Flèche vers le bas 882"/>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884" name="Flèche vers le bas 88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885" name="Flèche vers le bas 884"/>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886" name="Flèche vers le bas 88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887" name="Flèche vers le bas 886"/>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888" name="Flèche vers le bas 88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889" name="Flèche vers le bas 888"/>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890" name="Flèche vers le bas 88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891" name="Flèche vers le bas 890"/>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892" name="Flèche vers le bas 89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893" name="Flèche vers le bas 892"/>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894" name="Flèche vers le bas 89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895" name="Flèche vers le bas 894"/>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896" name="Flèche vers le bas 89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897" name="Flèche vers le bas 896"/>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898" name="Flèche vers le bas 89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899" name="Flèche vers le bas 898"/>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900" name="Flèche vers le bas 89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901" name="Flèche vers le bas 900"/>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902" name="Flèche vers le bas 90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903" name="Flèche vers le bas 902"/>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904" name="Flèche vers le bas 90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905" name="Flèche vers le bas 904"/>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906" name="Flèche vers le bas 90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907" name="Flèche vers le bas 906"/>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908" name="Flèche vers le bas 90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909" name="Flèche vers le bas 908"/>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910" name="Flèche vers le bas 90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911" name="Flèche vers le bas 910"/>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912" name="Flèche vers le bas 91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913" name="Flèche vers le bas 912"/>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914" name="Flèche vers le bas 91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915" name="Flèche vers le bas 914"/>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916" name="Flèche vers le bas 91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917" name="Flèche vers le bas 916"/>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918" name="Flèche vers le bas 91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919" name="Flèche vers le bas 918"/>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920" name="Flèche vers le bas 91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921" name="Flèche vers le bas 920"/>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922" name="Flèche vers le bas 92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923" name="Flèche vers le bas 922"/>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924" name="Flèche vers le bas 92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925" name="Flèche vers le bas 924"/>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926" name="Flèche vers le bas 92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927" name="Flèche vers le bas 926"/>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928" name="Flèche vers le bas 92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929" name="Flèche vers le bas 928"/>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930" name="Flèche vers le bas 92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931" name="Flèche vers le bas 930"/>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932" name="Flèche vers le bas 93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933" name="Flèche vers le bas 932"/>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934" name="Flèche vers le bas 93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935" name="Flèche vers le bas 934"/>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936" name="Flèche vers le bas 93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937" name="Flèche vers le bas 936"/>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938" name="Flèche vers le bas 93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939" name="Flèche vers le bas 938"/>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940" name="Flèche vers le bas 93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941" name="Flèche vers le bas 940"/>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942" name="Flèche vers le bas 94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943" name="Flèche vers le bas 942"/>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944" name="Flèche vers le bas 94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945" name="Flèche vers le bas 944"/>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946" name="Flèche vers le bas 94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947" name="Flèche vers le bas 946"/>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948" name="Flèche vers le bas 94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949" name="Flèche vers le bas 948"/>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950" name="Flèche vers le bas 94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951" name="Flèche vers le bas 950"/>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952" name="Flèche vers le bas 95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953" name="Flèche vers le bas 952"/>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954" name="Flèche vers le bas 95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955" name="Flèche vers le bas 954"/>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112</xdr:row>
      <xdr:rowOff>0</xdr:rowOff>
    </xdr:from>
    <xdr:to>
      <xdr:col>0</xdr:col>
      <xdr:colOff>1165413</xdr:colOff>
      <xdr:row>112</xdr:row>
      <xdr:rowOff>44824</xdr:rowOff>
    </xdr:to>
    <xdr:sp macro="" textlink="">
      <xdr:nvSpPr>
        <xdr:cNvPr id="960" name="Flèche vers le bas 95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112</xdr:row>
      <xdr:rowOff>0</xdr:rowOff>
    </xdr:from>
    <xdr:to>
      <xdr:col>0</xdr:col>
      <xdr:colOff>1165413</xdr:colOff>
      <xdr:row>112</xdr:row>
      <xdr:rowOff>44824</xdr:rowOff>
    </xdr:to>
    <xdr:sp macro="" textlink="">
      <xdr:nvSpPr>
        <xdr:cNvPr id="961" name="Flèche vers le bas 960"/>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112</xdr:row>
      <xdr:rowOff>0</xdr:rowOff>
    </xdr:from>
    <xdr:to>
      <xdr:col>0</xdr:col>
      <xdr:colOff>1165413</xdr:colOff>
      <xdr:row>112</xdr:row>
      <xdr:rowOff>44824</xdr:rowOff>
    </xdr:to>
    <xdr:sp macro="" textlink="">
      <xdr:nvSpPr>
        <xdr:cNvPr id="962" name="Flèche vers le bas 96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112</xdr:row>
      <xdr:rowOff>0</xdr:rowOff>
    </xdr:from>
    <xdr:to>
      <xdr:col>0</xdr:col>
      <xdr:colOff>1165413</xdr:colOff>
      <xdr:row>112</xdr:row>
      <xdr:rowOff>44824</xdr:rowOff>
    </xdr:to>
    <xdr:sp macro="" textlink="">
      <xdr:nvSpPr>
        <xdr:cNvPr id="963" name="Flèche vers le bas 962"/>
        <xdr:cNvSpPr/>
      </xdr:nvSpPr>
      <xdr:spPr>
        <a:xfrm>
          <a:off x="1019737" y="1007729"/>
          <a:ext cx="145676" cy="18009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112</xdr:row>
      <xdr:rowOff>313765</xdr:rowOff>
    </xdr:from>
    <xdr:to>
      <xdr:col>0</xdr:col>
      <xdr:colOff>1165413</xdr:colOff>
      <xdr:row>113</xdr:row>
      <xdr:rowOff>44824</xdr:rowOff>
    </xdr:to>
    <xdr:sp macro="" textlink="">
      <xdr:nvSpPr>
        <xdr:cNvPr id="964" name="Flèche vers le bas 96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112</xdr:row>
      <xdr:rowOff>313765</xdr:rowOff>
    </xdr:from>
    <xdr:to>
      <xdr:col>0</xdr:col>
      <xdr:colOff>1165413</xdr:colOff>
      <xdr:row>113</xdr:row>
      <xdr:rowOff>44824</xdr:rowOff>
    </xdr:to>
    <xdr:sp macro="" textlink="">
      <xdr:nvSpPr>
        <xdr:cNvPr id="965" name="Flèche vers le bas 964"/>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112</xdr:row>
      <xdr:rowOff>313765</xdr:rowOff>
    </xdr:from>
    <xdr:to>
      <xdr:col>0</xdr:col>
      <xdr:colOff>1165413</xdr:colOff>
      <xdr:row>113</xdr:row>
      <xdr:rowOff>44824</xdr:rowOff>
    </xdr:to>
    <xdr:sp macro="" textlink="">
      <xdr:nvSpPr>
        <xdr:cNvPr id="966" name="Flèche vers le bas 96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xdr:row>
      <xdr:rowOff>313765</xdr:rowOff>
    </xdr:from>
    <xdr:to>
      <xdr:col>0</xdr:col>
      <xdr:colOff>1165413</xdr:colOff>
      <xdr:row>9</xdr:row>
      <xdr:rowOff>44824</xdr:rowOff>
    </xdr:to>
    <xdr:sp macro="" textlink="">
      <xdr:nvSpPr>
        <xdr:cNvPr id="967" name="Flèche vers le bas 966"/>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xdr:row>
      <xdr:rowOff>313765</xdr:rowOff>
    </xdr:from>
    <xdr:to>
      <xdr:col>0</xdr:col>
      <xdr:colOff>1165413</xdr:colOff>
      <xdr:row>10</xdr:row>
      <xdr:rowOff>44824</xdr:rowOff>
    </xdr:to>
    <xdr:sp macro="" textlink="">
      <xdr:nvSpPr>
        <xdr:cNvPr id="968" name="Flèche vers le bas 96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xdr:row>
      <xdr:rowOff>313765</xdr:rowOff>
    </xdr:from>
    <xdr:to>
      <xdr:col>0</xdr:col>
      <xdr:colOff>1165413</xdr:colOff>
      <xdr:row>9</xdr:row>
      <xdr:rowOff>44824</xdr:rowOff>
    </xdr:to>
    <xdr:sp macro="" textlink="">
      <xdr:nvSpPr>
        <xdr:cNvPr id="969" name="Flèche vers le bas 968"/>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xdr:row>
      <xdr:rowOff>313765</xdr:rowOff>
    </xdr:from>
    <xdr:to>
      <xdr:col>0</xdr:col>
      <xdr:colOff>1165413</xdr:colOff>
      <xdr:row>10</xdr:row>
      <xdr:rowOff>44824</xdr:rowOff>
    </xdr:to>
    <xdr:sp macro="" textlink="">
      <xdr:nvSpPr>
        <xdr:cNvPr id="970" name="Flèche vers le bas 96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xdr:row>
      <xdr:rowOff>313765</xdr:rowOff>
    </xdr:from>
    <xdr:to>
      <xdr:col>0</xdr:col>
      <xdr:colOff>1165413</xdr:colOff>
      <xdr:row>10</xdr:row>
      <xdr:rowOff>44824</xdr:rowOff>
    </xdr:to>
    <xdr:sp macro="" textlink="">
      <xdr:nvSpPr>
        <xdr:cNvPr id="971" name="Flèche vers le bas 97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xdr:row>
      <xdr:rowOff>313765</xdr:rowOff>
    </xdr:from>
    <xdr:to>
      <xdr:col>0</xdr:col>
      <xdr:colOff>1165413</xdr:colOff>
      <xdr:row>9</xdr:row>
      <xdr:rowOff>44824</xdr:rowOff>
    </xdr:to>
    <xdr:sp macro="" textlink="">
      <xdr:nvSpPr>
        <xdr:cNvPr id="972" name="Flèche vers le bas 97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xdr:row>
      <xdr:rowOff>313765</xdr:rowOff>
    </xdr:from>
    <xdr:to>
      <xdr:col>0</xdr:col>
      <xdr:colOff>1165413</xdr:colOff>
      <xdr:row>10</xdr:row>
      <xdr:rowOff>44824</xdr:rowOff>
    </xdr:to>
    <xdr:sp macro="" textlink="">
      <xdr:nvSpPr>
        <xdr:cNvPr id="973" name="Flèche vers le bas 97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xdr:row>
      <xdr:rowOff>313765</xdr:rowOff>
    </xdr:from>
    <xdr:to>
      <xdr:col>0</xdr:col>
      <xdr:colOff>1165413</xdr:colOff>
      <xdr:row>10</xdr:row>
      <xdr:rowOff>44824</xdr:rowOff>
    </xdr:to>
    <xdr:sp macro="" textlink="">
      <xdr:nvSpPr>
        <xdr:cNvPr id="974" name="Flèche vers le bas 97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xdr:row>
      <xdr:rowOff>313765</xdr:rowOff>
    </xdr:from>
    <xdr:to>
      <xdr:col>0</xdr:col>
      <xdr:colOff>1165413</xdr:colOff>
      <xdr:row>10</xdr:row>
      <xdr:rowOff>44824</xdr:rowOff>
    </xdr:to>
    <xdr:sp macro="" textlink="">
      <xdr:nvSpPr>
        <xdr:cNvPr id="975" name="Flèche vers le bas 97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xdr:row>
      <xdr:rowOff>313765</xdr:rowOff>
    </xdr:from>
    <xdr:to>
      <xdr:col>0</xdr:col>
      <xdr:colOff>1165413</xdr:colOff>
      <xdr:row>10</xdr:row>
      <xdr:rowOff>44824</xdr:rowOff>
    </xdr:to>
    <xdr:sp macro="" textlink="">
      <xdr:nvSpPr>
        <xdr:cNvPr id="976" name="Flèche vers le bas 97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977" name="Flèche vers le bas 97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xdr:row>
      <xdr:rowOff>313765</xdr:rowOff>
    </xdr:from>
    <xdr:to>
      <xdr:col>0</xdr:col>
      <xdr:colOff>1165413</xdr:colOff>
      <xdr:row>10</xdr:row>
      <xdr:rowOff>44824</xdr:rowOff>
    </xdr:to>
    <xdr:sp macro="" textlink="">
      <xdr:nvSpPr>
        <xdr:cNvPr id="978" name="Flèche vers le bas 97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979" name="Flèche vers le bas 97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980" name="Flèche vers le bas 97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xdr:row>
      <xdr:rowOff>313765</xdr:rowOff>
    </xdr:from>
    <xdr:to>
      <xdr:col>0</xdr:col>
      <xdr:colOff>1165413</xdr:colOff>
      <xdr:row>10</xdr:row>
      <xdr:rowOff>44824</xdr:rowOff>
    </xdr:to>
    <xdr:sp macro="" textlink="">
      <xdr:nvSpPr>
        <xdr:cNvPr id="981" name="Flèche vers le bas 980"/>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982" name="Flèche vers le bas 98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983" name="Flèche vers le bas 98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984" name="Flèche vers le bas 98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985" name="Flèche vers le bas 98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986" name="Flèche vers le bas 98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987" name="Flèche vers le bas 98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988" name="Flèche vers le bas 98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989" name="Flèche vers le bas 98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990" name="Flèche vers le bas 98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991" name="Flèche vers le bas 99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992" name="Flèche vers le bas 99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993" name="Flèche vers le bas 992"/>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994" name="Flèche vers le bas 99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995" name="Flèche vers le bas 99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996" name="Flèche vers le bas 99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997" name="Flèche vers le bas 99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998" name="Flèche vers le bas 99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999" name="Flèche vers le bas 99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1000" name="Flèche vers le bas 99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1001" name="Flèche vers le bas 100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1002" name="Flèche vers le bas 100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1003" name="Flèche vers le bas 100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1004" name="Flèche vers le bas 100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1005" name="Flèche vers le bas 1004"/>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1006" name="Flèche vers le bas 100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1007" name="Flèche vers le bas 100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1008" name="Flèche vers le bas 100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1009" name="Flèche vers le bas 100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1010" name="Flèche vers le bas 100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1011" name="Flèche vers le bas 101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1012" name="Flèche vers le bas 101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1013" name="Flèche vers le bas 101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1014" name="Flèche vers le bas 101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1015" name="Flèche vers le bas 101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1016" name="Flèche vers le bas 101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1017" name="Flèche vers le bas 1016"/>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1018" name="Flèche vers le bas 101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1019" name="Flèche vers le bas 101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1020" name="Flèche vers le bas 101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1021" name="Flèche vers le bas 102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1022" name="Flèche vers le bas 102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1023" name="Flèche vers le bas 102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1024" name="Flèche vers le bas 102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1025" name="Flèche vers le bas 102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1026" name="Flèche vers le bas 102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1027" name="Flèche vers le bas 102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1028" name="Flèche vers le bas 102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1029" name="Flèche vers le bas 1028"/>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1030" name="Flèche vers le bas 102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1031" name="Flèche vers le bas 103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1032" name="Flèche vers le bas 103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1033" name="Flèche vers le bas 103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1034" name="Flèche vers le bas 103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1035" name="Flèche vers le bas 103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1036" name="Flèche vers le bas 103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1037" name="Flèche vers le bas 103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1038" name="Flèche vers le bas 103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1039" name="Flèche vers le bas 103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1040" name="Flèche vers le bas 103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1041" name="Flèche vers le bas 1040"/>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1042" name="Flèche vers le bas 104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1043" name="Flèche vers le bas 104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1044" name="Flèche vers le bas 104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1045" name="Flèche vers le bas 104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1046" name="Flèche vers le bas 104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1047" name="Flèche vers le bas 104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1048" name="Flèche vers le bas 104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1049" name="Flèche vers le bas 104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1050" name="Flèche vers le bas 104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1051" name="Flèche vers le bas 105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1052" name="Flèche vers le bas 105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1053" name="Flèche vers le bas 1052"/>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1054" name="Flèche vers le bas 105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1055" name="Flèche vers le bas 105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1056" name="Flèche vers le bas 105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1057" name="Flèche vers le bas 105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1058" name="Flèche vers le bas 105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1059" name="Flèche vers le bas 105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1060" name="Flèche vers le bas 105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1061" name="Flèche vers le bas 106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1062" name="Flèche vers le bas 106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1063" name="Flèche vers le bas 106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1064" name="Flèche vers le bas 106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1065" name="Flèche vers le bas 1064"/>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1066" name="Flèche vers le bas 106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1067" name="Flèche vers le bas 106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1068" name="Flèche vers le bas 106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1069" name="Flèche vers le bas 106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1070" name="Flèche vers le bas 106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1071" name="Flèche vers le bas 107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1072" name="Flèche vers le bas 107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1073" name="Flèche vers le bas 107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1074" name="Flèche vers le bas 107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1075" name="Flèche vers le bas 107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1076" name="Flèche vers le bas 107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1077" name="Flèche vers le bas 1076"/>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1078" name="Flèche vers le bas 107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1079" name="Flèche vers le bas 107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1080" name="Flèche vers le bas 107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1081" name="Flèche vers le bas 108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1082" name="Flèche vers le bas 108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1083" name="Flèche vers le bas 108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1084" name="Flèche vers le bas 108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1085" name="Flèche vers le bas 108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1086" name="Flèche vers le bas 108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1087" name="Flèche vers le bas 108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1088" name="Flèche vers le bas 108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1089" name="Flèche vers le bas 1088"/>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1090" name="Flèche vers le bas 108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1091" name="Flèche vers le bas 109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1092" name="Flèche vers le bas 109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1093" name="Flèche vers le bas 109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1094" name="Flèche vers le bas 109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1095" name="Flèche vers le bas 109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1096" name="Flèche vers le bas 109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1097" name="Flèche vers le bas 109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1098" name="Flèche vers le bas 109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1099" name="Flèche vers le bas 109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1100" name="Flèche vers le bas 109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1101" name="Flèche vers le bas 1100"/>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1102" name="Flèche vers le bas 110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1103" name="Flèche vers le bas 110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1104" name="Flèche vers le bas 110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1105" name="Flèche vers le bas 110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1106" name="Flèche vers le bas 110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1107" name="Flèche vers le bas 110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1108" name="Flèche vers le bas 110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1109" name="Flèche vers le bas 110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1110" name="Flèche vers le bas 110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1111" name="Flèche vers le bas 111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1112" name="Flèche vers le bas 111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1113" name="Flèche vers le bas 1112"/>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1114" name="Flèche vers le bas 111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1115" name="Flèche vers le bas 111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1116" name="Flèche vers le bas 111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1117" name="Flèche vers le bas 111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1118" name="Flèche vers le bas 111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1119" name="Flèche vers le bas 111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1120" name="Flèche vers le bas 111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1121" name="Flèche vers le bas 112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1122" name="Flèche vers le bas 112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1123" name="Flèche vers le bas 112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1124" name="Flèche vers le bas 112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1125" name="Flèche vers le bas 1124"/>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1126" name="Flèche vers le bas 112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1127" name="Flèche vers le bas 112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1128" name="Flèche vers le bas 112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1129" name="Flèche vers le bas 112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1130" name="Flèche vers le bas 112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1131" name="Flèche vers le bas 113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1132" name="Flèche vers le bas 113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1133" name="Flèche vers le bas 113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1134" name="Flèche vers le bas 113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1135" name="Flèche vers le bas 113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1136" name="Flèche vers le bas 113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1137" name="Flèche vers le bas 1136"/>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1138" name="Flèche vers le bas 113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1139" name="Flèche vers le bas 113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1140" name="Flèche vers le bas 113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1141" name="Flèche vers le bas 114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1142" name="Flèche vers le bas 114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1143" name="Flèche vers le bas 114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1144" name="Flèche vers le bas 114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1145" name="Flèche vers le bas 114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1146" name="Flèche vers le bas 114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1147" name="Flèche vers le bas 114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1148" name="Flèche vers le bas 114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1149" name="Flèche vers le bas 1148"/>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1150" name="Flèche vers le bas 114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1151" name="Flèche vers le bas 115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1152" name="Flèche vers le bas 115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1153" name="Flèche vers le bas 115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1154" name="Flèche vers le bas 115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1155" name="Flèche vers le bas 115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1156" name="Flèche vers le bas 115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1157" name="Flèche vers le bas 115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1158" name="Flèche vers le bas 115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1159" name="Flèche vers le bas 115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1160" name="Flèche vers le bas 115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1161" name="Flèche vers le bas 1160"/>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1162" name="Flèche vers le bas 116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1163" name="Flèche vers le bas 116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1164" name="Flèche vers le bas 116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1165" name="Flèche vers le bas 116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1166" name="Flèche vers le bas 116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1167" name="Flèche vers le bas 116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1168" name="Flèche vers le bas 116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1169" name="Flèche vers le bas 116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1170" name="Flèche vers le bas 116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1171" name="Flèche vers le bas 117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1172" name="Flèche vers le bas 117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1173" name="Flèche vers le bas 1172"/>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1174" name="Flèche vers le bas 117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1175" name="Flèche vers le bas 117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1176" name="Flèche vers le bas 117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1177" name="Flèche vers le bas 117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1178" name="Flèche vers le bas 117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1179" name="Flèche vers le bas 117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1180" name="Flèche vers le bas 117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1181" name="Flèche vers le bas 118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1182" name="Flèche vers le bas 118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1183" name="Flèche vers le bas 118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1184" name="Flèche vers le bas 118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1185" name="Flèche vers le bas 1184"/>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1186" name="Flèche vers le bas 118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1187" name="Flèche vers le bas 118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1188" name="Flèche vers le bas 118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1189" name="Flèche vers le bas 118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1190" name="Flèche vers le bas 118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1191" name="Flèche vers le bas 119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1192" name="Flèche vers le bas 119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1193" name="Flèche vers le bas 119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1194" name="Flèche vers le bas 119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1195" name="Flèche vers le bas 119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1196" name="Flèche vers le bas 119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1197" name="Flèche vers le bas 1196"/>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1198" name="Flèche vers le bas 119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1199" name="Flèche vers le bas 119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1200" name="Flèche vers le bas 119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1201" name="Flèche vers le bas 120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1202" name="Flèche vers le bas 120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1203" name="Flèche vers le bas 120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1204" name="Flèche vers le bas 120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1205" name="Flèche vers le bas 120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1206" name="Flèche vers le bas 120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1207" name="Flèche vers le bas 120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1208" name="Flèche vers le bas 120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1209" name="Flèche vers le bas 1208"/>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1210" name="Flèche vers le bas 120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1211" name="Flèche vers le bas 121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1212" name="Flèche vers le bas 121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1213" name="Flèche vers le bas 121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1214" name="Flèche vers le bas 121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1215" name="Flèche vers le bas 121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1216" name="Flèche vers le bas 121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1217" name="Flèche vers le bas 121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1218" name="Flèche vers le bas 121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1219" name="Flèche vers le bas 121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1220" name="Flèche vers le bas 121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1221" name="Flèche vers le bas 1220"/>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1222" name="Flèche vers le bas 122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1223" name="Flèche vers le bas 122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1224" name="Flèche vers le bas 122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1225" name="Flèche vers le bas 122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1226" name="Flèche vers le bas 122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1227" name="Flèche vers le bas 122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1228" name="Flèche vers le bas 122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1229" name="Flèche vers le bas 122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1230" name="Flèche vers le bas 122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1231" name="Flèche vers le bas 123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1232" name="Flèche vers le bas 123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1233" name="Flèche vers le bas 1232"/>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1234" name="Flèche vers le bas 123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1235" name="Flèche vers le bas 123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1236" name="Flèche vers le bas 123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1237" name="Flèche vers le bas 123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1238" name="Flèche vers le bas 123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1239" name="Flèche vers le bas 123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1240" name="Flèche vers le bas 123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1241" name="Flèche vers le bas 124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1242" name="Flèche vers le bas 124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1243" name="Flèche vers le bas 124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1244" name="Flèche vers le bas 124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1245" name="Flèche vers le bas 1244"/>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1246" name="Flèche vers le bas 124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1247" name="Flèche vers le bas 124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1248" name="Flèche vers le bas 124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1249" name="Flèche vers le bas 124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1250" name="Flèche vers le bas 124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1251" name="Flèche vers le bas 125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1252" name="Flèche vers le bas 125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1253" name="Flèche vers le bas 125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1254" name="Flèche vers le bas 125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1255" name="Flèche vers le bas 125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1256" name="Flèche vers le bas 125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1257" name="Flèche vers le bas 1256"/>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1258" name="Flèche vers le bas 125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1259" name="Flèche vers le bas 125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1260" name="Flèche vers le bas 125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1261" name="Flèche vers le bas 126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1262" name="Flèche vers le bas 126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1263" name="Flèche vers le bas 126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1264" name="Flèche vers le bas 126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1265" name="Flèche vers le bas 126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1266" name="Flèche vers le bas 126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1267" name="Flèche vers le bas 126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1268" name="Flèche vers le bas 126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1269" name="Flèche vers le bas 1268"/>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1270" name="Flèche vers le bas 126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1271" name="Flèche vers le bas 127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1272" name="Flèche vers le bas 127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1273" name="Flèche vers le bas 127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1274" name="Flèche vers le bas 127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1275" name="Flèche vers le bas 127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1276" name="Flèche vers le bas 127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1277" name="Flèche vers le bas 127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1278" name="Flèche vers le bas 127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1279" name="Flèche vers le bas 127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1280" name="Flèche vers le bas 127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1281" name="Flèche vers le bas 1280"/>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1282" name="Flèche vers le bas 128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1283" name="Flèche vers le bas 128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1284" name="Flèche vers le bas 128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1285" name="Flèche vers le bas 128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1286" name="Flèche vers le bas 128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1287" name="Flèche vers le bas 128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1288" name="Flèche vers le bas 128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1289" name="Flèche vers le bas 128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1290" name="Flèche vers le bas 128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1291" name="Flèche vers le bas 129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1292" name="Flèche vers le bas 129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1293" name="Flèche vers le bas 1292"/>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1294" name="Flèche vers le bas 129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1295" name="Flèche vers le bas 129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1296" name="Flèche vers le bas 129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1297" name="Flèche vers le bas 129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1298" name="Flèche vers le bas 129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1299" name="Flèche vers le bas 129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1300" name="Flèche vers le bas 129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1301" name="Flèche vers le bas 130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1302" name="Flèche vers le bas 130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1303" name="Flèche vers le bas 130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1304" name="Flèche vers le bas 130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1305" name="Flèche vers le bas 1304"/>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1306" name="Flèche vers le bas 130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1307" name="Flèche vers le bas 130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1308" name="Flèche vers le bas 130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1309" name="Flèche vers le bas 130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1310" name="Flèche vers le bas 130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1311" name="Flèche vers le bas 131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1312" name="Flèche vers le bas 131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38</xdr:row>
      <xdr:rowOff>313765</xdr:rowOff>
    </xdr:from>
    <xdr:to>
      <xdr:col>0</xdr:col>
      <xdr:colOff>1165413</xdr:colOff>
      <xdr:row>39</xdr:row>
      <xdr:rowOff>44824</xdr:rowOff>
    </xdr:to>
    <xdr:sp macro="" textlink="">
      <xdr:nvSpPr>
        <xdr:cNvPr id="1313" name="Flèche vers le bas 131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1314" name="Flèche vers le bas 131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38</xdr:row>
      <xdr:rowOff>313765</xdr:rowOff>
    </xdr:from>
    <xdr:to>
      <xdr:col>0</xdr:col>
      <xdr:colOff>1165413</xdr:colOff>
      <xdr:row>39</xdr:row>
      <xdr:rowOff>44824</xdr:rowOff>
    </xdr:to>
    <xdr:sp macro="" textlink="">
      <xdr:nvSpPr>
        <xdr:cNvPr id="1315" name="Flèche vers le bas 131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38</xdr:row>
      <xdr:rowOff>313765</xdr:rowOff>
    </xdr:from>
    <xdr:to>
      <xdr:col>0</xdr:col>
      <xdr:colOff>1165413</xdr:colOff>
      <xdr:row>39</xdr:row>
      <xdr:rowOff>44824</xdr:rowOff>
    </xdr:to>
    <xdr:sp macro="" textlink="">
      <xdr:nvSpPr>
        <xdr:cNvPr id="1316" name="Flèche vers le bas 131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1317" name="Flèche vers le bas 1316"/>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38</xdr:row>
      <xdr:rowOff>313765</xdr:rowOff>
    </xdr:from>
    <xdr:to>
      <xdr:col>0</xdr:col>
      <xdr:colOff>1165413</xdr:colOff>
      <xdr:row>39</xdr:row>
      <xdr:rowOff>44824</xdr:rowOff>
    </xdr:to>
    <xdr:sp macro="" textlink="">
      <xdr:nvSpPr>
        <xdr:cNvPr id="1318" name="Flèche vers le bas 131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38</xdr:row>
      <xdr:rowOff>313765</xdr:rowOff>
    </xdr:from>
    <xdr:to>
      <xdr:col>0</xdr:col>
      <xdr:colOff>1165413</xdr:colOff>
      <xdr:row>39</xdr:row>
      <xdr:rowOff>44824</xdr:rowOff>
    </xdr:to>
    <xdr:sp macro="" textlink="">
      <xdr:nvSpPr>
        <xdr:cNvPr id="1319" name="Flèche vers le bas 131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38</xdr:row>
      <xdr:rowOff>313765</xdr:rowOff>
    </xdr:from>
    <xdr:to>
      <xdr:col>0</xdr:col>
      <xdr:colOff>1165413</xdr:colOff>
      <xdr:row>39</xdr:row>
      <xdr:rowOff>44824</xdr:rowOff>
    </xdr:to>
    <xdr:sp macro="" textlink="">
      <xdr:nvSpPr>
        <xdr:cNvPr id="1320" name="Flèche vers le bas 131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38</xdr:row>
      <xdr:rowOff>313765</xdr:rowOff>
    </xdr:from>
    <xdr:to>
      <xdr:col>0</xdr:col>
      <xdr:colOff>1165413</xdr:colOff>
      <xdr:row>39</xdr:row>
      <xdr:rowOff>44824</xdr:rowOff>
    </xdr:to>
    <xdr:sp macro="" textlink="">
      <xdr:nvSpPr>
        <xdr:cNvPr id="1321" name="Flèche vers le bas 132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38</xdr:row>
      <xdr:rowOff>313765</xdr:rowOff>
    </xdr:from>
    <xdr:to>
      <xdr:col>0</xdr:col>
      <xdr:colOff>1165413</xdr:colOff>
      <xdr:row>39</xdr:row>
      <xdr:rowOff>44824</xdr:rowOff>
    </xdr:to>
    <xdr:sp macro="" textlink="">
      <xdr:nvSpPr>
        <xdr:cNvPr id="1322" name="Flèche vers le bas 132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38</xdr:row>
      <xdr:rowOff>313765</xdr:rowOff>
    </xdr:from>
    <xdr:to>
      <xdr:col>0</xdr:col>
      <xdr:colOff>1165413</xdr:colOff>
      <xdr:row>39</xdr:row>
      <xdr:rowOff>44824</xdr:rowOff>
    </xdr:to>
    <xdr:sp macro="" textlink="">
      <xdr:nvSpPr>
        <xdr:cNvPr id="1323" name="Flèche vers le bas 132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38</xdr:row>
      <xdr:rowOff>313765</xdr:rowOff>
    </xdr:from>
    <xdr:to>
      <xdr:col>0</xdr:col>
      <xdr:colOff>1165413</xdr:colOff>
      <xdr:row>39</xdr:row>
      <xdr:rowOff>44824</xdr:rowOff>
    </xdr:to>
    <xdr:sp macro="" textlink="">
      <xdr:nvSpPr>
        <xdr:cNvPr id="1324" name="Flèche vers le bas 132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39</xdr:row>
      <xdr:rowOff>313765</xdr:rowOff>
    </xdr:from>
    <xdr:to>
      <xdr:col>0</xdr:col>
      <xdr:colOff>1165413</xdr:colOff>
      <xdr:row>40</xdr:row>
      <xdr:rowOff>44824</xdr:rowOff>
    </xdr:to>
    <xdr:sp macro="" textlink="">
      <xdr:nvSpPr>
        <xdr:cNvPr id="1325" name="Flèche vers le bas 132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38</xdr:row>
      <xdr:rowOff>313765</xdr:rowOff>
    </xdr:from>
    <xdr:to>
      <xdr:col>0</xdr:col>
      <xdr:colOff>1165413</xdr:colOff>
      <xdr:row>39</xdr:row>
      <xdr:rowOff>44824</xdr:rowOff>
    </xdr:to>
    <xdr:sp macro="" textlink="">
      <xdr:nvSpPr>
        <xdr:cNvPr id="1326" name="Flèche vers le bas 132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39</xdr:row>
      <xdr:rowOff>313765</xdr:rowOff>
    </xdr:from>
    <xdr:to>
      <xdr:col>0</xdr:col>
      <xdr:colOff>1165413</xdr:colOff>
      <xdr:row>40</xdr:row>
      <xdr:rowOff>44824</xdr:rowOff>
    </xdr:to>
    <xdr:sp macro="" textlink="">
      <xdr:nvSpPr>
        <xdr:cNvPr id="1327" name="Flèche vers le bas 132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39</xdr:row>
      <xdr:rowOff>313765</xdr:rowOff>
    </xdr:from>
    <xdr:to>
      <xdr:col>0</xdr:col>
      <xdr:colOff>1165413</xdr:colOff>
      <xdr:row>40</xdr:row>
      <xdr:rowOff>44824</xdr:rowOff>
    </xdr:to>
    <xdr:sp macro="" textlink="">
      <xdr:nvSpPr>
        <xdr:cNvPr id="1328" name="Flèche vers le bas 132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38</xdr:row>
      <xdr:rowOff>313765</xdr:rowOff>
    </xdr:from>
    <xdr:to>
      <xdr:col>0</xdr:col>
      <xdr:colOff>1165413</xdr:colOff>
      <xdr:row>39</xdr:row>
      <xdr:rowOff>44824</xdr:rowOff>
    </xdr:to>
    <xdr:sp macro="" textlink="">
      <xdr:nvSpPr>
        <xdr:cNvPr id="1329" name="Flèche vers le bas 1328"/>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39</xdr:row>
      <xdr:rowOff>313765</xdr:rowOff>
    </xdr:from>
    <xdr:to>
      <xdr:col>0</xdr:col>
      <xdr:colOff>1165413</xdr:colOff>
      <xdr:row>40</xdr:row>
      <xdr:rowOff>44824</xdr:rowOff>
    </xdr:to>
    <xdr:sp macro="" textlink="">
      <xdr:nvSpPr>
        <xdr:cNvPr id="1330" name="Flèche vers le bas 132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39</xdr:row>
      <xdr:rowOff>313765</xdr:rowOff>
    </xdr:from>
    <xdr:to>
      <xdr:col>0</xdr:col>
      <xdr:colOff>1165413</xdr:colOff>
      <xdr:row>40</xdr:row>
      <xdr:rowOff>44824</xdr:rowOff>
    </xdr:to>
    <xdr:sp macro="" textlink="">
      <xdr:nvSpPr>
        <xdr:cNvPr id="1331" name="Flèche vers le bas 133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39</xdr:row>
      <xdr:rowOff>313765</xdr:rowOff>
    </xdr:from>
    <xdr:to>
      <xdr:col>0</xdr:col>
      <xdr:colOff>1165413</xdr:colOff>
      <xdr:row>40</xdr:row>
      <xdr:rowOff>44824</xdr:rowOff>
    </xdr:to>
    <xdr:sp macro="" textlink="">
      <xdr:nvSpPr>
        <xdr:cNvPr id="1332" name="Flèche vers le bas 133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39</xdr:row>
      <xdr:rowOff>313765</xdr:rowOff>
    </xdr:from>
    <xdr:to>
      <xdr:col>0</xdr:col>
      <xdr:colOff>1165413</xdr:colOff>
      <xdr:row>40</xdr:row>
      <xdr:rowOff>44824</xdr:rowOff>
    </xdr:to>
    <xdr:sp macro="" textlink="">
      <xdr:nvSpPr>
        <xdr:cNvPr id="1333" name="Flèche vers le bas 133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39</xdr:row>
      <xdr:rowOff>313765</xdr:rowOff>
    </xdr:from>
    <xdr:to>
      <xdr:col>0</xdr:col>
      <xdr:colOff>1165413</xdr:colOff>
      <xdr:row>40</xdr:row>
      <xdr:rowOff>44824</xdr:rowOff>
    </xdr:to>
    <xdr:sp macro="" textlink="">
      <xdr:nvSpPr>
        <xdr:cNvPr id="1334" name="Flèche vers le bas 133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39</xdr:row>
      <xdr:rowOff>313765</xdr:rowOff>
    </xdr:from>
    <xdr:to>
      <xdr:col>0</xdr:col>
      <xdr:colOff>1165413</xdr:colOff>
      <xdr:row>40</xdr:row>
      <xdr:rowOff>44824</xdr:rowOff>
    </xdr:to>
    <xdr:sp macro="" textlink="">
      <xdr:nvSpPr>
        <xdr:cNvPr id="1335" name="Flèche vers le bas 133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39</xdr:row>
      <xdr:rowOff>313765</xdr:rowOff>
    </xdr:from>
    <xdr:to>
      <xdr:col>0</xdr:col>
      <xdr:colOff>1165413</xdr:colOff>
      <xdr:row>40</xdr:row>
      <xdr:rowOff>44824</xdr:rowOff>
    </xdr:to>
    <xdr:sp macro="" textlink="">
      <xdr:nvSpPr>
        <xdr:cNvPr id="1336" name="Flèche vers le bas 133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40</xdr:row>
      <xdr:rowOff>313765</xdr:rowOff>
    </xdr:from>
    <xdr:to>
      <xdr:col>0</xdr:col>
      <xdr:colOff>1165413</xdr:colOff>
      <xdr:row>41</xdr:row>
      <xdr:rowOff>44824</xdr:rowOff>
    </xdr:to>
    <xdr:sp macro="" textlink="">
      <xdr:nvSpPr>
        <xdr:cNvPr id="1337" name="Flèche vers le bas 133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39</xdr:row>
      <xdr:rowOff>313765</xdr:rowOff>
    </xdr:from>
    <xdr:to>
      <xdr:col>0</xdr:col>
      <xdr:colOff>1165413</xdr:colOff>
      <xdr:row>40</xdr:row>
      <xdr:rowOff>44824</xdr:rowOff>
    </xdr:to>
    <xdr:sp macro="" textlink="">
      <xdr:nvSpPr>
        <xdr:cNvPr id="1338" name="Flèche vers le bas 133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40</xdr:row>
      <xdr:rowOff>313765</xdr:rowOff>
    </xdr:from>
    <xdr:to>
      <xdr:col>0</xdr:col>
      <xdr:colOff>1165413</xdr:colOff>
      <xdr:row>41</xdr:row>
      <xdr:rowOff>44824</xdr:rowOff>
    </xdr:to>
    <xdr:sp macro="" textlink="">
      <xdr:nvSpPr>
        <xdr:cNvPr id="1339" name="Flèche vers le bas 133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40</xdr:row>
      <xdr:rowOff>313765</xdr:rowOff>
    </xdr:from>
    <xdr:to>
      <xdr:col>0</xdr:col>
      <xdr:colOff>1165413</xdr:colOff>
      <xdr:row>41</xdr:row>
      <xdr:rowOff>44824</xdr:rowOff>
    </xdr:to>
    <xdr:sp macro="" textlink="">
      <xdr:nvSpPr>
        <xdr:cNvPr id="1340" name="Flèche vers le bas 133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39</xdr:row>
      <xdr:rowOff>313765</xdr:rowOff>
    </xdr:from>
    <xdr:to>
      <xdr:col>0</xdr:col>
      <xdr:colOff>1165413</xdr:colOff>
      <xdr:row>40</xdr:row>
      <xdr:rowOff>44824</xdr:rowOff>
    </xdr:to>
    <xdr:sp macro="" textlink="">
      <xdr:nvSpPr>
        <xdr:cNvPr id="1341" name="Flèche vers le bas 1340"/>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40</xdr:row>
      <xdr:rowOff>313765</xdr:rowOff>
    </xdr:from>
    <xdr:to>
      <xdr:col>0</xdr:col>
      <xdr:colOff>1165413</xdr:colOff>
      <xdr:row>41</xdr:row>
      <xdr:rowOff>44824</xdr:rowOff>
    </xdr:to>
    <xdr:sp macro="" textlink="">
      <xdr:nvSpPr>
        <xdr:cNvPr id="1342" name="Flèche vers le bas 134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40</xdr:row>
      <xdr:rowOff>313765</xdr:rowOff>
    </xdr:from>
    <xdr:to>
      <xdr:col>0</xdr:col>
      <xdr:colOff>1165413</xdr:colOff>
      <xdr:row>41</xdr:row>
      <xdr:rowOff>44824</xdr:rowOff>
    </xdr:to>
    <xdr:sp macro="" textlink="">
      <xdr:nvSpPr>
        <xdr:cNvPr id="1343" name="Flèche vers le bas 134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40</xdr:row>
      <xdr:rowOff>313765</xdr:rowOff>
    </xdr:from>
    <xdr:to>
      <xdr:col>0</xdr:col>
      <xdr:colOff>1165413</xdr:colOff>
      <xdr:row>41</xdr:row>
      <xdr:rowOff>44824</xdr:rowOff>
    </xdr:to>
    <xdr:sp macro="" textlink="">
      <xdr:nvSpPr>
        <xdr:cNvPr id="1344" name="Flèche vers le bas 134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40</xdr:row>
      <xdr:rowOff>313765</xdr:rowOff>
    </xdr:from>
    <xdr:to>
      <xdr:col>0</xdr:col>
      <xdr:colOff>1165413</xdr:colOff>
      <xdr:row>41</xdr:row>
      <xdr:rowOff>44824</xdr:rowOff>
    </xdr:to>
    <xdr:sp macro="" textlink="">
      <xdr:nvSpPr>
        <xdr:cNvPr id="1345" name="Flèche vers le bas 134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40</xdr:row>
      <xdr:rowOff>313765</xdr:rowOff>
    </xdr:from>
    <xdr:to>
      <xdr:col>0</xdr:col>
      <xdr:colOff>1165413</xdr:colOff>
      <xdr:row>41</xdr:row>
      <xdr:rowOff>44824</xdr:rowOff>
    </xdr:to>
    <xdr:sp macro="" textlink="">
      <xdr:nvSpPr>
        <xdr:cNvPr id="1346" name="Flèche vers le bas 134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40</xdr:row>
      <xdr:rowOff>313765</xdr:rowOff>
    </xdr:from>
    <xdr:to>
      <xdr:col>0</xdr:col>
      <xdr:colOff>1165413</xdr:colOff>
      <xdr:row>41</xdr:row>
      <xdr:rowOff>44824</xdr:rowOff>
    </xdr:to>
    <xdr:sp macro="" textlink="">
      <xdr:nvSpPr>
        <xdr:cNvPr id="1347" name="Flèche vers le bas 134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40</xdr:row>
      <xdr:rowOff>313765</xdr:rowOff>
    </xdr:from>
    <xdr:to>
      <xdr:col>0</xdr:col>
      <xdr:colOff>1165413</xdr:colOff>
      <xdr:row>41</xdr:row>
      <xdr:rowOff>44824</xdr:rowOff>
    </xdr:to>
    <xdr:sp macro="" textlink="">
      <xdr:nvSpPr>
        <xdr:cNvPr id="1348" name="Flèche vers le bas 134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41</xdr:row>
      <xdr:rowOff>313765</xdr:rowOff>
    </xdr:from>
    <xdr:to>
      <xdr:col>0</xdr:col>
      <xdr:colOff>1165413</xdr:colOff>
      <xdr:row>42</xdr:row>
      <xdr:rowOff>44824</xdr:rowOff>
    </xdr:to>
    <xdr:sp macro="" textlink="">
      <xdr:nvSpPr>
        <xdr:cNvPr id="1349" name="Flèche vers le bas 134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40</xdr:row>
      <xdr:rowOff>313765</xdr:rowOff>
    </xdr:from>
    <xdr:to>
      <xdr:col>0</xdr:col>
      <xdr:colOff>1165413</xdr:colOff>
      <xdr:row>41</xdr:row>
      <xdr:rowOff>44824</xdr:rowOff>
    </xdr:to>
    <xdr:sp macro="" textlink="">
      <xdr:nvSpPr>
        <xdr:cNvPr id="1350" name="Flèche vers le bas 134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41</xdr:row>
      <xdr:rowOff>313765</xdr:rowOff>
    </xdr:from>
    <xdr:to>
      <xdr:col>0</xdr:col>
      <xdr:colOff>1165413</xdr:colOff>
      <xdr:row>42</xdr:row>
      <xdr:rowOff>44824</xdr:rowOff>
    </xdr:to>
    <xdr:sp macro="" textlink="">
      <xdr:nvSpPr>
        <xdr:cNvPr id="1351" name="Flèche vers le bas 135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41</xdr:row>
      <xdr:rowOff>313765</xdr:rowOff>
    </xdr:from>
    <xdr:to>
      <xdr:col>0</xdr:col>
      <xdr:colOff>1165413</xdr:colOff>
      <xdr:row>42</xdr:row>
      <xdr:rowOff>44824</xdr:rowOff>
    </xdr:to>
    <xdr:sp macro="" textlink="">
      <xdr:nvSpPr>
        <xdr:cNvPr id="1352" name="Flèche vers le bas 135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40</xdr:row>
      <xdr:rowOff>313765</xdr:rowOff>
    </xdr:from>
    <xdr:to>
      <xdr:col>0</xdr:col>
      <xdr:colOff>1165413</xdr:colOff>
      <xdr:row>41</xdr:row>
      <xdr:rowOff>44824</xdr:rowOff>
    </xdr:to>
    <xdr:sp macro="" textlink="">
      <xdr:nvSpPr>
        <xdr:cNvPr id="1353" name="Flèche vers le bas 1352"/>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41</xdr:row>
      <xdr:rowOff>313765</xdr:rowOff>
    </xdr:from>
    <xdr:to>
      <xdr:col>0</xdr:col>
      <xdr:colOff>1165413</xdr:colOff>
      <xdr:row>42</xdr:row>
      <xdr:rowOff>44824</xdr:rowOff>
    </xdr:to>
    <xdr:sp macro="" textlink="">
      <xdr:nvSpPr>
        <xdr:cNvPr id="1354" name="Flèche vers le bas 135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41</xdr:row>
      <xdr:rowOff>313765</xdr:rowOff>
    </xdr:from>
    <xdr:to>
      <xdr:col>0</xdr:col>
      <xdr:colOff>1165413</xdr:colOff>
      <xdr:row>42</xdr:row>
      <xdr:rowOff>44824</xdr:rowOff>
    </xdr:to>
    <xdr:sp macro="" textlink="">
      <xdr:nvSpPr>
        <xdr:cNvPr id="1355" name="Flèche vers le bas 135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41</xdr:row>
      <xdr:rowOff>313765</xdr:rowOff>
    </xdr:from>
    <xdr:to>
      <xdr:col>0</xdr:col>
      <xdr:colOff>1165413</xdr:colOff>
      <xdr:row>42</xdr:row>
      <xdr:rowOff>44824</xdr:rowOff>
    </xdr:to>
    <xdr:sp macro="" textlink="">
      <xdr:nvSpPr>
        <xdr:cNvPr id="1356" name="Flèche vers le bas 135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41</xdr:row>
      <xdr:rowOff>313765</xdr:rowOff>
    </xdr:from>
    <xdr:to>
      <xdr:col>0</xdr:col>
      <xdr:colOff>1165413</xdr:colOff>
      <xdr:row>42</xdr:row>
      <xdr:rowOff>44824</xdr:rowOff>
    </xdr:to>
    <xdr:sp macro="" textlink="">
      <xdr:nvSpPr>
        <xdr:cNvPr id="1357" name="Flèche vers le bas 135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41</xdr:row>
      <xdr:rowOff>313765</xdr:rowOff>
    </xdr:from>
    <xdr:to>
      <xdr:col>0</xdr:col>
      <xdr:colOff>1165413</xdr:colOff>
      <xdr:row>42</xdr:row>
      <xdr:rowOff>44824</xdr:rowOff>
    </xdr:to>
    <xdr:sp macro="" textlink="">
      <xdr:nvSpPr>
        <xdr:cNvPr id="1358" name="Flèche vers le bas 135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41</xdr:row>
      <xdr:rowOff>313765</xdr:rowOff>
    </xdr:from>
    <xdr:to>
      <xdr:col>0</xdr:col>
      <xdr:colOff>1165413</xdr:colOff>
      <xdr:row>42</xdr:row>
      <xdr:rowOff>44824</xdr:rowOff>
    </xdr:to>
    <xdr:sp macro="" textlink="">
      <xdr:nvSpPr>
        <xdr:cNvPr id="1359" name="Flèche vers le bas 135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41</xdr:row>
      <xdr:rowOff>313765</xdr:rowOff>
    </xdr:from>
    <xdr:to>
      <xdr:col>0</xdr:col>
      <xdr:colOff>1165413</xdr:colOff>
      <xdr:row>42</xdr:row>
      <xdr:rowOff>44824</xdr:rowOff>
    </xdr:to>
    <xdr:sp macro="" textlink="">
      <xdr:nvSpPr>
        <xdr:cNvPr id="1360" name="Flèche vers le bas 135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42</xdr:row>
      <xdr:rowOff>313765</xdr:rowOff>
    </xdr:from>
    <xdr:to>
      <xdr:col>0</xdr:col>
      <xdr:colOff>1165413</xdr:colOff>
      <xdr:row>43</xdr:row>
      <xdr:rowOff>44824</xdr:rowOff>
    </xdr:to>
    <xdr:sp macro="" textlink="">
      <xdr:nvSpPr>
        <xdr:cNvPr id="1361" name="Flèche vers le bas 136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41</xdr:row>
      <xdr:rowOff>313765</xdr:rowOff>
    </xdr:from>
    <xdr:to>
      <xdr:col>0</xdr:col>
      <xdr:colOff>1165413</xdr:colOff>
      <xdr:row>42</xdr:row>
      <xdr:rowOff>44824</xdr:rowOff>
    </xdr:to>
    <xdr:sp macro="" textlink="">
      <xdr:nvSpPr>
        <xdr:cNvPr id="1362" name="Flèche vers le bas 136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42</xdr:row>
      <xdr:rowOff>313765</xdr:rowOff>
    </xdr:from>
    <xdr:to>
      <xdr:col>0</xdr:col>
      <xdr:colOff>1165413</xdr:colOff>
      <xdr:row>43</xdr:row>
      <xdr:rowOff>44824</xdr:rowOff>
    </xdr:to>
    <xdr:sp macro="" textlink="">
      <xdr:nvSpPr>
        <xdr:cNvPr id="1363" name="Flèche vers le bas 136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42</xdr:row>
      <xdr:rowOff>313765</xdr:rowOff>
    </xdr:from>
    <xdr:to>
      <xdr:col>0</xdr:col>
      <xdr:colOff>1165413</xdr:colOff>
      <xdr:row>43</xdr:row>
      <xdr:rowOff>44824</xdr:rowOff>
    </xdr:to>
    <xdr:sp macro="" textlink="">
      <xdr:nvSpPr>
        <xdr:cNvPr id="1364" name="Flèche vers le bas 136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41</xdr:row>
      <xdr:rowOff>313765</xdr:rowOff>
    </xdr:from>
    <xdr:to>
      <xdr:col>0</xdr:col>
      <xdr:colOff>1165413</xdr:colOff>
      <xdr:row>42</xdr:row>
      <xdr:rowOff>44824</xdr:rowOff>
    </xdr:to>
    <xdr:sp macro="" textlink="">
      <xdr:nvSpPr>
        <xdr:cNvPr id="1365" name="Flèche vers le bas 1364"/>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42</xdr:row>
      <xdr:rowOff>313765</xdr:rowOff>
    </xdr:from>
    <xdr:to>
      <xdr:col>0</xdr:col>
      <xdr:colOff>1165413</xdr:colOff>
      <xdr:row>43</xdr:row>
      <xdr:rowOff>44824</xdr:rowOff>
    </xdr:to>
    <xdr:sp macro="" textlink="">
      <xdr:nvSpPr>
        <xdr:cNvPr id="1366" name="Flèche vers le bas 136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42</xdr:row>
      <xdr:rowOff>313765</xdr:rowOff>
    </xdr:from>
    <xdr:to>
      <xdr:col>0</xdr:col>
      <xdr:colOff>1165413</xdr:colOff>
      <xdr:row>43</xdr:row>
      <xdr:rowOff>44824</xdr:rowOff>
    </xdr:to>
    <xdr:sp macro="" textlink="">
      <xdr:nvSpPr>
        <xdr:cNvPr id="1367" name="Flèche vers le bas 136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42</xdr:row>
      <xdr:rowOff>313765</xdr:rowOff>
    </xdr:from>
    <xdr:to>
      <xdr:col>0</xdr:col>
      <xdr:colOff>1165413</xdr:colOff>
      <xdr:row>43</xdr:row>
      <xdr:rowOff>44824</xdr:rowOff>
    </xdr:to>
    <xdr:sp macro="" textlink="">
      <xdr:nvSpPr>
        <xdr:cNvPr id="1368" name="Flèche vers le bas 136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42</xdr:row>
      <xdr:rowOff>313765</xdr:rowOff>
    </xdr:from>
    <xdr:to>
      <xdr:col>0</xdr:col>
      <xdr:colOff>1165413</xdr:colOff>
      <xdr:row>43</xdr:row>
      <xdr:rowOff>44824</xdr:rowOff>
    </xdr:to>
    <xdr:sp macro="" textlink="">
      <xdr:nvSpPr>
        <xdr:cNvPr id="1369" name="Flèche vers le bas 136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42</xdr:row>
      <xdr:rowOff>313765</xdr:rowOff>
    </xdr:from>
    <xdr:to>
      <xdr:col>0</xdr:col>
      <xdr:colOff>1165413</xdr:colOff>
      <xdr:row>43</xdr:row>
      <xdr:rowOff>44824</xdr:rowOff>
    </xdr:to>
    <xdr:sp macro="" textlink="">
      <xdr:nvSpPr>
        <xdr:cNvPr id="1370" name="Flèche vers le bas 136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42</xdr:row>
      <xdr:rowOff>313765</xdr:rowOff>
    </xdr:from>
    <xdr:to>
      <xdr:col>0</xdr:col>
      <xdr:colOff>1165413</xdr:colOff>
      <xdr:row>43</xdr:row>
      <xdr:rowOff>44824</xdr:rowOff>
    </xdr:to>
    <xdr:sp macro="" textlink="">
      <xdr:nvSpPr>
        <xdr:cNvPr id="1371" name="Flèche vers le bas 137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42</xdr:row>
      <xdr:rowOff>313765</xdr:rowOff>
    </xdr:from>
    <xdr:to>
      <xdr:col>0</xdr:col>
      <xdr:colOff>1165413</xdr:colOff>
      <xdr:row>43</xdr:row>
      <xdr:rowOff>44824</xdr:rowOff>
    </xdr:to>
    <xdr:sp macro="" textlink="">
      <xdr:nvSpPr>
        <xdr:cNvPr id="1372" name="Flèche vers le bas 137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43</xdr:row>
      <xdr:rowOff>313765</xdr:rowOff>
    </xdr:from>
    <xdr:to>
      <xdr:col>0</xdr:col>
      <xdr:colOff>1165413</xdr:colOff>
      <xdr:row>44</xdr:row>
      <xdr:rowOff>44824</xdr:rowOff>
    </xdr:to>
    <xdr:sp macro="" textlink="">
      <xdr:nvSpPr>
        <xdr:cNvPr id="1373" name="Flèche vers le bas 137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42</xdr:row>
      <xdr:rowOff>313765</xdr:rowOff>
    </xdr:from>
    <xdr:to>
      <xdr:col>0</xdr:col>
      <xdr:colOff>1165413</xdr:colOff>
      <xdr:row>43</xdr:row>
      <xdr:rowOff>44824</xdr:rowOff>
    </xdr:to>
    <xdr:sp macro="" textlink="">
      <xdr:nvSpPr>
        <xdr:cNvPr id="1374" name="Flèche vers le bas 137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43</xdr:row>
      <xdr:rowOff>313765</xdr:rowOff>
    </xdr:from>
    <xdr:to>
      <xdr:col>0</xdr:col>
      <xdr:colOff>1165413</xdr:colOff>
      <xdr:row>44</xdr:row>
      <xdr:rowOff>44824</xdr:rowOff>
    </xdr:to>
    <xdr:sp macro="" textlink="">
      <xdr:nvSpPr>
        <xdr:cNvPr id="1375" name="Flèche vers le bas 137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43</xdr:row>
      <xdr:rowOff>313765</xdr:rowOff>
    </xdr:from>
    <xdr:to>
      <xdr:col>0</xdr:col>
      <xdr:colOff>1165413</xdr:colOff>
      <xdr:row>44</xdr:row>
      <xdr:rowOff>44824</xdr:rowOff>
    </xdr:to>
    <xdr:sp macro="" textlink="">
      <xdr:nvSpPr>
        <xdr:cNvPr id="1376" name="Flèche vers le bas 137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42</xdr:row>
      <xdr:rowOff>313765</xdr:rowOff>
    </xdr:from>
    <xdr:to>
      <xdr:col>0</xdr:col>
      <xdr:colOff>1165413</xdr:colOff>
      <xdr:row>43</xdr:row>
      <xdr:rowOff>44824</xdr:rowOff>
    </xdr:to>
    <xdr:sp macro="" textlink="">
      <xdr:nvSpPr>
        <xdr:cNvPr id="1377" name="Flèche vers le bas 1376"/>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43</xdr:row>
      <xdr:rowOff>313765</xdr:rowOff>
    </xdr:from>
    <xdr:to>
      <xdr:col>0</xdr:col>
      <xdr:colOff>1165413</xdr:colOff>
      <xdr:row>44</xdr:row>
      <xdr:rowOff>44824</xdr:rowOff>
    </xdr:to>
    <xdr:sp macro="" textlink="">
      <xdr:nvSpPr>
        <xdr:cNvPr id="1378" name="Flèche vers le bas 137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43</xdr:row>
      <xdr:rowOff>313765</xdr:rowOff>
    </xdr:from>
    <xdr:to>
      <xdr:col>0</xdr:col>
      <xdr:colOff>1165413</xdr:colOff>
      <xdr:row>44</xdr:row>
      <xdr:rowOff>44824</xdr:rowOff>
    </xdr:to>
    <xdr:sp macro="" textlink="">
      <xdr:nvSpPr>
        <xdr:cNvPr id="1379" name="Flèche vers le bas 137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43</xdr:row>
      <xdr:rowOff>313765</xdr:rowOff>
    </xdr:from>
    <xdr:to>
      <xdr:col>0</xdr:col>
      <xdr:colOff>1165413</xdr:colOff>
      <xdr:row>44</xdr:row>
      <xdr:rowOff>44824</xdr:rowOff>
    </xdr:to>
    <xdr:sp macro="" textlink="">
      <xdr:nvSpPr>
        <xdr:cNvPr id="1380" name="Flèche vers le bas 137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43</xdr:row>
      <xdr:rowOff>313765</xdr:rowOff>
    </xdr:from>
    <xdr:to>
      <xdr:col>0</xdr:col>
      <xdr:colOff>1165413</xdr:colOff>
      <xdr:row>44</xdr:row>
      <xdr:rowOff>44824</xdr:rowOff>
    </xdr:to>
    <xdr:sp macro="" textlink="">
      <xdr:nvSpPr>
        <xdr:cNvPr id="1381" name="Flèche vers le bas 138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43</xdr:row>
      <xdr:rowOff>313765</xdr:rowOff>
    </xdr:from>
    <xdr:to>
      <xdr:col>0</xdr:col>
      <xdr:colOff>1165413</xdr:colOff>
      <xdr:row>44</xdr:row>
      <xdr:rowOff>44824</xdr:rowOff>
    </xdr:to>
    <xdr:sp macro="" textlink="">
      <xdr:nvSpPr>
        <xdr:cNvPr id="1382" name="Flèche vers le bas 138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43</xdr:row>
      <xdr:rowOff>313765</xdr:rowOff>
    </xdr:from>
    <xdr:to>
      <xdr:col>0</xdr:col>
      <xdr:colOff>1165413</xdr:colOff>
      <xdr:row>44</xdr:row>
      <xdr:rowOff>44824</xdr:rowOff>
    </xdr:to>
    <xdr:sp macro="" textlink="">
      <xdr:nvSpPr>
        <xdr:cNvPr id="1383" name="Flèche vers le bas 138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43</xdr:row>
      <xdr:rowOff>313765</xdr:rowOff>
    </xdr:from>
    <xdr:to>
      <xdr:col>0</xdr:col>
      <xdr:colOff>1165413</xdr:colOff>
      <xdr:row>44</xdr:row>
      <xdr:rowOff>44824</xdr:rowOff>
    </xdr:to>
    <xdr:sp macro="" textlink="">
      <xdr:nvSpPr>
        <xdr:cNvPr id="1384" name="Flèche vers le bas 138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44</xdr:row>
      <xdr:rowOff>313765</xdr:rowOff>
    </xdr:from>
    <xdr:to>
      <xdr:col>0</xdr:col>
      <xdr:colOff>1165413</xdr:colOff>
      <xdr:row>45</xdr:row>
      <xdr:rowOff>44824</xdr:rowOff>
    </xdr:to>
    <xdr:sp macro="" textlink="">
      <xdr:nvSpPr>
        <xdr:cNvPr id="1385" name="Flèche vers le bas 138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43</xdr:row>
      <xdr:rowOff>313765</xdr:rowOff>
    </xdr:from>
    <xdr:to>
      <xdr:col>0</xdr:col>
      <xdr:colOff>1165413</xdr:colOff>
      <xdr:row>44</xdr:row>
      <xdr:rowOff>44824</xdr:rowOff>
    </xdr:to>
    <xdr:sp macro="" textlink="">
      <xdr:nvSpPr>
        <xdr:cNvPr id="1386" name="Flèche vers le bas 138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44</xdr:row>
      <xdr:rowOff>313765</xdr:rowOff>
    </xdr:from>
    <xdr:to>
      <xdr:col>0</xdr:col>
      <xdr:colOff>1165413</xdr:colOff>
      <xdr:row>45</xdr:row>
      <xdr:rowOff>44824</xdr:rowOff>
    </xdr:to>
    <xdr:sp macro="" textlink="">
      <xdr:nvSpPr>
        <xdr:cNvPr id="1387" name="Flèche vers le bas 138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44</xdr:row>
      <xdr:rowOff>313765</xdr:rowOff>
    </xdr:from>
    <xdr:to>
      <xdr:col>0</xdr:col>
      <xdr:colOff>1165413</xdr:colOff>
      <xdr:row>45</xdr:row>
      <xdr:rowOff>44824</xdr:rowOff>
    </xdr:to>
    <xdr:sp macro="" textlink="">
      <xdr:nvSpPr>
        <xdr:cNvPr id="1388" name="Flèche vers le bas 138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43</xdr:row>
      <xdr:rowOff>313765</xdr:rowOff>
    </xdr:from>
    <xdr:to>
      <xdr:col>0</xdr:col>
      <xdr:colOff>1165413</xdr:colOff>
      <xdr:row>44</xdr:row>
      <xdr:rowOff>44824</xdr:rowOff>
    </xdr:to>
    <xdr:sp macro="" textlink="">
      <xdr:nvSpPr>
        <xdr:cNvPr id="1389" name="Flèche vers le bas 1388"/>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44</xdr:row>
      <xdr:rowOff>313765</xdr:rowOff>
    </xdr:from>
    <xdr:to>
      <xdr:col>0</xdr:col>
      <xdr:colOff>1165413</xdr:colOff>
      <xdr:row>45</xdr:row>
      <xdr:rowOff>44824</xdr:rowOff>
    </xdr:to>
    <xdr:sp macro="" textlink="">
      <xdr:nvSpPr>
        <xdr:cNvPr id="1390" name="Flèche vers le bas 138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44</xdr:row>
      <xdr:rowOff>313765</xdr:rowOff>
    </xdr:from>
    <xdr:to>
      <xdr:col>0</xdr:col>
      <xdr:colOff>1165413</xdr:colOff>
      <xdr:row>45</xdr:row>
      <xdr:rowOff>44824</xdr:rowOff>
    </xdr:to>
    <xdr:sp macro="" textlink="">
      <xdr:nvSpPr>
        <xdr:cNvPr id="1391" name="Flèche vers le bas 139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44</xdr:row>
      <xdr:rowOff>313765</xdr:rowOff>
    </xdr:from>
    <xdr:to>
      <xdr:col>0</xdr:col>
      <xdr:colOff>1165413</xdr:colOff>
      <xdr:row>45</xdr:row>
      <xdr:rowOff>44824</xdr:rowOff>
    </xdr:to>
    <xdr:sp macro="" textlink="">
      <xdr:nvSpPr>
        <xdr:cNvPr id="1392" name="Flèche vers le bas 139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44</xdr:row>
      <xdr:rowOff>313765</xdr:rowOff>
    </xdr:from>
    <xdr:to>
      <xdr:col>0</xdr:col>
      <xdr:colOff>1165413</xdr:colOff>
      <xdr:row>45</xdr:row>
      <xdr:rowOff>44824</xdr:rowOff>
    </xdr:to>
    <xdr:sp macro="" textlink="">
      <xdr:nvSpPr>
        <xdr:cNvPr id="1393" name="Flèche vers le bas 139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44</xdr:row>
      <xdr:rowOff>313765</xdr:rowOff>
    </xdr:from>
    <xdr:to>
      <xdr:col>0</xdr:col>
      <xdr:colOff>1165413</xdr:colOff>
      <xdr:row>45</xdr:row>
      <xdr:rowOff>44824</xdr:rowOff>
    </xdr:to>
    <xdr:sp macro="" textlink="">
      <xdr:nvSpPr>
        <xdr:cNvPr id="1394" name="Flèche vers le bas 139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44</xdr:row>
      <xdr:rowOff>313765</xdr:rowOff>
    </xdr:from>
    <xdr:to>
      <xdr:col>0</xdr:col>
      <xdr:colOff>1165413</xdr:colOff>
      <xdr:row>45</xdr:row>
      <xdr:rowOff>44824</xdr:rowOff>
    </xdr:to>
    <xdr:sp macro="" textlink="">
      <xdr:nvSpPr>
        <xdr:cNvPr id="1395" name="Flèche vers le bas 139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44</xdr:row>
      <xdr:rowOff>313765</xdr:rowOff>
    </xdr:from>
    <xdr:to>
      <xdr:col>0</xdr:col>
      <xdr:colOff>1165413</xdr:colOff>
      <xdr:row>45</xdr:row>
      <xdr:rowOff>44824</xdr:rowOff>
    </xdr:to>
    <xdr:sp macro="" textlink="">
      <xdr:nvSpPr>
        <xdr:cNvPr id="1396" name="Flèche vers le bas 139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45</xdr:row>
      <xdr:rowOff>313765</xdr:rowOff>
    </xdr:from>
    <xdr:to>
      <xdr:col>0</xdr:col>
      <xdr:colOff>1165413</xdr:colOff>
      <xdr:row>46</xdr:row>
      <xdr:rowOff>44824</xdr:rowOff>
    </xdr:to>
    <xdr:sp macro="" textlink="">
      <xdr:nvSpPr>
        <xdr:cNvPr id="1397" name="Flèche vers le bas 139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44</xdr:row>
      <xdr:rowOff>313765</xdr:rowOff>
    </xdr:from>
    <xdr:to>
      <xdr:col>0</xdr:col>
      <xdr:colOff>1165413</xdr:colOff>
      <xdr:row>45</xdr:row>
      <xdr:rowOff>44824</xdr:rowOff>
    </xdr:to>
    <xdr:sp macro="" textlink="">
      <xdr:nvSpPr>
        <xdr:cNvPr id="1398" name="Flèche vers le bas 139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45</xdr:row>
      <xdr:rowOff>313765</xdr:rowOff>
    </xdr:from>
    <xdr:to>
      <xdr:col>0</xdr:col>
      <xdr:colOff>1165413</xdr:colOff>
      <xdr:row>46</xdr:row>
      <xdr:rowOff>44824</xdr:rowOff>
    </xdr:to>
    <xdr:sp macro="" textlink="">
      <xdr:nvSpPr>
        <xdr:cNvPr id="1399" name="Flèche vers le bas 139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45</xdr:row>
      <xdr:rowOff>313765</xdr:rowOff>
    </xdr:from>
    <xdr:to>
      <xdr:col>0</xdr:col>
      <xdr:colOff>1165413</xdr:colOff>
      <xdr:row>46</xdr:row>
      <xdr:rowOff>44824</xdr:rowOff>
    </xdr:to>
    <xdr:sp macro="" textlink="">
      <xdr:nvSpPr>
        <xdr:cNvPr id="1400" name="Flèche vers le bas 139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44</xdr:row>
      <xdr:rowOff>313765</xdr:rowOff>
    </xdr:from>
    <xdr:to>
      <xdr:col>0</xdr:col>
      <xdr:colOff>1165413</xdr:colOff>
      <xdr:row>45</xdr:row>
      <xdr:rowOff>44824</xdr:rowOff>
    </xdr:to>
    <xdr:sp macro="" textlink="">
      <xdr:nvSpPr>
        <xdr:cNvPr id="1401" name="Flèche vers le bas 1400"/>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45</xdr:row>
      <xdr:rowOff>313765</xdr:rowOff>
    </xdr:from>
    <xdr:to>
      <xdr:col>0</xdr:col>
      <xdr:colOff>1165413</xdr:colOff>
      <xdr:row>46</xdr:row>
      <xdr:rowOff>44824</xdr:rowOff>
    </xdr:to>
    <xdr:sp macro="" textlink="">
      <xdr:nvSpPr>
        <xdr:cNvPr id="1402" name="Flèche vers le bas 140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45</xdr:row>
      <xdr:rowOff>313765</xdr:rowOff>
    </xdr:from>
    <xdr:to>
      <xdr:col>0</xdr:col>
      <xdr:colOff>1165413</xdr:colOff>
      <xdr:row>46</xdr:row>
      <xdr:rowOff>44824</xdr:rowOff>
    </xdr:to>
    <xdr:sp macro="" textlink="">
      <xdr:nvSpPr>
        <xdr:cNvPr id="1403" name="Flèche vers le bas 140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45</xdr:row>
      <xdr:rowOff>313765</xdr:rowOff>
    </xdr:from>
    <xdr:to>
      <xdr:col>0</xdr:col>
      <xdr:colOff>1165413</xdr:colOff>
      <xdr:row>46</xdr:row>
      <xdr:rowOff>44824</xdr:rowOff>
    </xdr:to>
    <xdr:sp macro="" textlink="">
      <xdr:nvSpPr>
        <xdr:cNvPr id="1404" name="Flèche vers le bas 140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45</xdr:row>
      <xdr:rowOff>313765</xdr:rowOff>
    </xdr:from>
    <xdr:to>
      <xdr:col>0</xdr:col>
      <xdr:colOff>1165413</xdr:colOff>
      <xdr:row>46</xdr:row>
      <xdr:rowOff>44824</xdr:rowOff>
    </xdr:to>
    <xdr:sp macro="" textlink="">
      <xdr:nvSpPr>
        <xdr:cNvPr id="1405" name="Flèche vers le bas 140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45</xdr:row>
      <xdr:rowOff>313765</xdr:rowOff>
    </xdr:from>
    <xdr:to>
      <xdr:col>0</xdr:col>
      <xdr:colOff>1165413</xdr:colOff>
      <xdr:row>46</xdr:row>
      <xdr:rowOff>44824</xdr:rowOff>
    </xdr:to>
    <xdr:sp macro="" textlink="">
      <xdr:nvSpPr>
        <xdr:cNvPr id="1406" name="Flèche vers le bas 140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45</xdr:row>
      <xdr:rowOff>313765</xdr:rowOff>
    </xdr:from>
    <xdr:to>
      <xdr:col>0</xdr:col>
      <xdr:colOff>1165413</xdr:colOff>
      <xdr:row>46</xdr:row>
      <xdr:rowOff>44824</xdr:rowOff>
    </xdr:to>
    <xdr:sp macro="" textlink="">
      <xdr:nvSpPr>
        <xdr:cNvPr id="1407" name="Flèche vers le bas 140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45</xdr:row>
      <xdr:rowOff>313765</xdr:rowOff>
    </xdr:from>
    <xdr:to>
      <xdr:col>0</xdr:col>
      <xdr:colOff>1165413</xdr:colOff>
      <xdr:row>46</xdr:row>
      <xdr:rowOff>44824</xdr:rowOff>
    </xdr:to>
    <xdr:sp macro="" textlink="">
      <xdr:nvSpPr>
        <xdr:cNvPr id="1408" name="Flèche vers le bas 140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46</xdr:row>
      <xdr:rowOff>313765</xdr:rowOff>
    </xdr:from>
    <xdr:to>
      <xdr:col>0</xdr:col>
      <xdr:colOff>1165413</xdr:colOff>
      <xdr:row>47</xdr:row>
      <xdr:rowOff>44824</xdr:rowOff>
    </xdr:to>
    <xdr:sp macro="" textlink="">
      <xdr:nvSpPr>
        <xdr:cNvPr id="1409" name="Flèche vers le bas 140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45</xdr:row>
      <xdr:rowOff>313765</xdr:rowOff>
    </xdr:from>
    <xdr:to>
      <xdr:col>0</xdr:col>
      <xdr:colOff>1165413</xdr:colOff>
      <xdr:row>46</xdr:row>
      <xdr:rowOff>44824</xdr:rowOff>
    </xdr:to>
    <xdr:sp macro="" textlink="">
      <xdr:nvSpPr>
        <xdr:cNvPr id="1410" name="Flèche vers le bas 140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46</xdr:row>
      <xdr:rowOff>313765</xdr:rowOff>
    </xdr:from>
    <xdr:to>
      <xdr:col>0</xdr:col>
      <xdr:colOff>1165413</xdr:colOff>
      <xdr:row>47</xdr:row>
      <xdr:rowOff>44824</xdr:rowOff>
    </xdr:to>
    <xdr:sp macro="" textlink="">
      <xdr:nvSpPr>
        <xdr:cNvPr id="1411" name="Flèche vers le bas 141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46</xdr:row>
      <xdr:rowOff>313765</xdr:rowOff>
    </xdr:from>
    <xdr:to>
      <xdr:col>0</xdr:col>
      <xdr:colOff>1165413</xdr:colOff>
      <xdr:row>47</xdr:row>
      <xdr:rowOff>44824</xdr:rowOff>
    </xdr:to>
    <xdr:sp macro="" textlink="">
      <xdr:nvSpPr>
        <xdr:cNvPr id="1412" name="Flèche vers le bas 141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45</xdr:row>
      <xdr:rowOff>313765</xdr:rowOff>
    </xdr:from>
    <xdr:to>
      <xdr:col>0</xdr:col>
      <xdr:colOff>1165413</xdr:colOff>
      <xdr:row>46</xdr:row>
      <xdr:rowOff>44824</xdr:rowOff>
    </xdr:to>
    <xdr:sp macro="" textlink="">
      <xdr:nvSpPr>
        <xdr:cNvPr id="1413" name="Flèche vers le bas 1412"/>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46</xdr:row>
      <xdr:rowOff>313765</xdr:rowOff>
    </xdr:from>
    <xdr:to>
      <xdr:col>0</xdr:col>
      <xdr:colOff>1165413</xdr:colOff>
      <xdr:row>47</xdr:row>
      <xdr:rowOff>44824</xdr:rowOff>
    </xdr:to>
    <xdr:sp macro="" textlink="">
      <xdr:nvSpPr>
        <xdr:cNvPr id="1414" name="Flèche vers le bas 141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46</xdr:row>
      <xdr:rowOff>313765</xdr:rowOff>
    </xdr:from>
    <xdr:to>
      <xdr:col>0</xdr:col>
      <xdr:colOff>1165413</xdr:colOff>
      <xdr:row>47</xdr:row>
      <xdr:rowOff>44824</xdr:rowOff>
    </xdr:to>
    <xdr:sp macro="" textlink="">
      <xdr:nvSpPr>
        <xdr:cNvPr id="1415" name="Flèche vers le bas 141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46</xdr:row>
      <xdr:rowOff>313765</xdr:rowOff>
    </xdr:from>
    <xdr:to>
      <xdr:col>0</xdr:col>
      <xdr:colOff>1165413</xdr:colOff>
      <xdr:row>47</xdr:row>
      <xdr:rowOff>44824</xdr:rowOff>
    </xdr:to>
    <xdr:sp macro="" textlink="">
      <xdr:nvSpPr>
        <xdr:cNvPr id="1416" name="Flèche vers le bas 141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46</xdr:row>
      <xdr:rowOff>313765</xdr:rowOff>
    </xdr:from>
    <xdr:to>
      <xdr:col>0</xdr:col>
      <xdr:colOff>1165413</xdr:colOff>
      <xdr:row>47</xdr:row>
      <xdr:rowOff>44824</xdr:rowOff>
    </xdr:to>
    <xdr:sp macro="" textlink="">
      <xdr:nvSpPr>
        <xdr:cNvPr id="1417" name="Flèche vers le bas 141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46</xdr:row>
      <xdr:rowOff>313765</xdr:rowOff>
    </xdr:from>
    <xdr:to>
      <xdr:col>0</xdr:col>
      <xdr:colOff>1165413</xdr:colOff>
      <xdr:row>47</xdr:row>
      <xdr:rowOff>44824</xdr:rowOff>
    </xdr:to>
    <xdr:sp macro="" textlink="">
      <xdr:nvSpPr>
        <xdr:cNvPr id="1418" name="Flèche vers le bas 141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46</xdr:row>
      <xdr:rowOff>313765</xdr:rowOff>
    </xdr:from>
    <xdr:to>
      <xdr:col>0</xdr:col>
      <xdr:colOff>1165413</xdr:colOff>
      <xdr:row>47</xdr:row>
      <xdr:rowOff>44824</xdr:rowOff>
    </xdr:to>
    <xdr:sp macro="" textlink="">
      <xdr:nvSpPr>
        <xdr:cNvPr id="1419" name="Flèche vers le bas 141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46</xdr:row>
      <xdr:rowOff>313765</xdr:rowOff>
    </xdr:from>
    <xdr:to>
      <xdr:col>0</xdr:col>
      <xdr:colOff>1165413</xdr:colOff>
      <xdr:row>47</xdr:row>
      <xdr:rowOff>44824</xdr:rowOff>
    </xdr:to>
    <xdr:sp macro="" textlink="">
      <xdr:nvSpPr>
        <xdr:cNvPr id="1420" name="Flèche vers le bas 141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47</xdr:row>
      <xdr:rowOff>313765</xdr:rowOff>
    </xdr:from>
    <xdr:to>
      <xdr:col>0</xdr:col>
      <xdr:colOff>1165413</xdr:colOff>
      <xdr:row>48</xdr:row>
      <xdr:rowOff>44824</xdr:rowOff>
    </xdr:to>
    <xdr:sp macro="" textlink="">
      <xdr:nvSpPr>
        <xdr:cNvPr id="1421" name="Flèche vers le bas 142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46</xdr:row>
      <xdr:rowOff>313765</xdr:rowOff>
    </xdr:from>
    <xdr:to>
      <xdr:col>0</xdr:col>
      <xdr:colOff>1165413</xdr:colOff>
      <xdr:row>47</xdr:row>
      <xdr:rowOff>44824</xdr:rowOff>
    </xdr:to>
    <xdr:sp macro="" textlink="">
      <xdr:nvSpPr>
        <xdr:cNvPr id="1422" name="Flèche vers le bas 142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47</xdr:row>
      <xdr:rowOff>313765</xdr:rowOff>
    </xdr:from>
    <xdr:to>
      <xdr:col>0</xdr:col>
      <xdr:colOff>1165413</xdr:colOff>
      <xdr:row>48</xdr:row>
      <xdr:rowOff>44824</xdr:rowOff>
    </xdr:to>
    <xdr:sp macro="" textlink="">
      <xdr:nvSpPr>
        <xdr:cNvPr id="1423" name="Flèche vers le bas 142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47</xdr:row>
      <xdr:rowOff>313765</xdr:rowOff>
    </xdr:from>
    <xdr:to>
      <xdr:col>0</xdr:col>
      <xdr:colOff>1165413</xdr:colOff>
      <xdr:row>48</xdr:row>
      <xdr:rowOff>44824</xdr:rowOff>
    </xdr:to>
    <xdr:sp macro="" textlink="">
      <xdr:nvSpPr>
        <xdr:cNvPr id="1424" name="Flèche vers le bas 142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46</xdr:row>
      <xdr:rowOff>313765</xdr:rowOff>
    </xdr:from>
    <xdr:to>
      <xdr:col>0</xdr:col>
      <xdr:colOff>1165413</xdr:colOff>
      <xdr:row>47</xdr:row>
      <xdr:rowOff>44824</xdr:rowOff>
    </xdr:to>
    <xdr:sp macro="" textlink="">
      <xdr:nvSpPr>
        <xdr:cNvPr id="1425" name="Flèche vers le bas 1424"/>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47</xdr:row>
      <xdr:rowOff>313765</xdr:rowOff>
    </xdr:from>
    <xdr:to>
      <xdr:col>0</xdr:col>
      <xdr:colOff>1165413</xdr:colOff>
      <xdr:row>48</xdr:row>
      <xdr:rowOff>44824</xdr:rowOff>
    </xdr:to>
    <xdr:sp macro="" textlink="">
      <xdr:nvSpPr>
        <xdr:cNvPr id="1426" name="Flèche vers le bas 142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47</xdr:row>
      <xdr:rowOff>313765</xdr:rowOff>
    </xdr:from>
    <xdr:to>
      <xdr:col>0</xdr:col>
      <xdr:colOff>1165413</xdr:colOff>
      <xdr:row>48</xdr:row>
      <xdr:rowOff>44824</xdr:rowOff>
    </xdr:to>
    <xdr:sp macro="" textlink="">
      <xdr:nvSpPr>
        <xdr:cNvPr id="1427" name="Flèche vers le bas 142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47</xdr:row>
      <xdr:rowOff>313765</xdr:rowOff>
    </xdr:from>
    <xdr:to>
      <xdr:col>0</xdr:col>
      <xdr:colOff>1165413</xdr:colOff>
      <xdr:row>48</xdr:row>
      <xdr:rowOff>44824</xdr:rowOff>
    </xdr:to>
    <xdr:sp macro="" textlink="">
      <xdr:nvSpPr>
        <xdr:cNvPr id="1428" name="Flèche vers le bas 142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47</xdr:row>
      <xdr:rowOff>313765</xdr:rowOff>
    </xdr:from>
    <xdr:to>
      <xdr:col>0</xdr:col>
      <xdr:colOff>1165413</xdr:colOff>
      <xdr:row>48</xdr:row>
      <xdr:rowOff>44824</xdr:rowOff>
    </xdr:to>
    <xdr:sp macro="" textlink="">
      <xdr:nvSpPr>
        <xdr:cNvPr id="1429" name="Flèche vers le bas 142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47</xdr:row>
      <xdr:rowOff>313765</xdr:rowOff>
    </xdr:from>
    <xdr:to>
      <xdr:col>0</xdr:col>
      <xdr:colOff>1165413</xdr:colOff>
      <xdr:row>48</xdr:row>
      <xdr:rowOff>44824</xdr:rowOff>
    </xdr:to>
    <xdr:sp macro="" textlink="">
      <xdr:nvSpPr>
        <xdr:cNvPr id="1430" name="Flèche vers le bas 142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47</xdr:row>
      <xdr:rowOff>313765</xdr:rowOff>
    </xdr:from>
    <xdr:to>
      <xdr:col>0</xdr:col>
      <xdr:colOff>1165413</xdr:colOff>
      <xdr:row>48</xdr:row>
      <xdr:rowOff>44824</xdr:rowOff>
    </xdr:to>
    <xdr:sp macro="" textlink="">
      <xdr:nvSpPr>
        <xdr:cNvPr id="1431" name="Flèche vers le bas 143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47</xdr:row>
      <xdr:rowOff>313765</xdr:rowOff>
    </xdr:from>
    <xdr:to>
      <xdr:col>0</xdr:col>
      <xdr:colOff>1165413</xdr:colOff>
      <xdr:row>48</xdr:row>
      <xdr:rowOff>44824</xdr:rowOff>
    </xdr:to>
    <xdr:sp macro="" textlink="">
      <xdr:nvSpPr>
        <xdr:cNvPr id="1432" name="Flèche vers le bas 143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48</xdr:row>
      <xdr:rowOff>313765</xdr:rowOff>
    </xdr:from>
    <xdr:to>
      <xdr:col>0</xdr:col>
      <xdr:colOff>1165413</xdr:colOff>
      <xdr:row>49</xdr:row>
      <xdr:rowOff>44824</xdr:rowOff>
    </xdr:to>
    <xdr:sp macro="" textlink="">
      <xdr:nvSpPr>
        <xdr:cNvPr id="1433" name="Flèche vers le bas 143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47</xdr:row>
      <xdr:rowOff>313765</xdr:rowOff>
    </xdr:from>
    <xdr:to>
      <xdr:col>0</xdr:col>
      <xdr:colOff>1165413</xdr:colOff>
      <xdr:row>48</xdr:row>
      <xdr:rowOff>44824</xdr:rowOff>
    </xdr:to>
    <xdr:sp macro="" textlink="">
      <xdr:nvSpPr>
        <xdr:cNvPr id="1434" name="Flèche vers le bas 143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48</xdr:row>
      <xdr:rowOff>313765</xdr:rowOff>
    </xdr:from>
    <xdr:to>
      <xdr:col>0</xdr:col>
      <xdr:colOff>1165413</xdr:colOff>
      <xdr:row>49</xdr:row>
      <xdr:rowOff>44824</xdr:rowOff>
    </xdr:to>
    <xdr:sp macro="" textlink="">
      <xdr:nvSpPr>
        <xdr:cNvPr id="1435" name="Flèche vers le bas 143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48</xdr:row>
      <xdr:rowOff>313765</xdr:rowOff>
    </xdr:from>
    <xdr:to>
      <xdr:col>0</xdr:col>
      <xdr:colOff>1165413</xdr:colOff>
      <xdr:row>49</xdr:row>
      <xdr:rowOff>44824</xdr:rowOff>
    </xdr:to>
    <xdr:sp macro="" textlink="">
      <xdr:nvSpPr>
        <xdr:cNvPr id="1436" name="Flèche vers le bas 143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47</xdr:row>
      <xdr:rowOff>313765</xdr:rowOff>
    </xdr:from>
    <xdr:to>
      <xdr:col>0</xdr:col>
      <xdr:colOff>1165413</xdr:colOff>
      <xdr:row>48</xdr:row>
      <xdr:rowOff>44824</xdr:rowOff>
    </xdr:to>
    <xdr:sp macro="" textlink="">
      <xdr:nvSpPr>
        <xdr:cNvPr id="1437" name="Flèche vers le bas 1436"/>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48</xdr:row>
      <xdr:rowOff>313765</xdr:rowOff>
    </xdr:from>
    <xdr:to>
      <xdr:col>0</xdr:col>
      <xdr:colOff>1165413</xdr:colOff>
      <xdr:row>49</xdr:row>
      <xdr:rowOff>44824</xdr:rowOff>
    </xdr:to>
    <xdr:sp macro="" textlink="">
      <xdr:nvSpPr>
        <xdr:cNvPr id="1438" name="Flèche vers le bas 143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48</xdr:row>
      <xdr:rowOff>313765</xdr:rowOff>
    </xdr:from>
    <xdr:to>
      <xdr:col>0</xdr:col>
      <xdr:colOff>1165413</xdr:colOff>
      <xdr:row>49</xdr:row>
      <xdr:rowOff>44824</xdr:rowOff>
    </xdr:to>
    <xdr:sp macro="" textlink="">
      <xdr:nvSpPr>
        <xdr:cNvPr id="1439" name="Flèche vers le bas 143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48</xdr:row>
      <xdr:rowOff>313765</xdr:rowOff>
    </xdr:from>
    <xdr:to>
      <xdr:col>0</xdr:col>
      <xdr:colOff>1165413</xdr:colOff>
      <xdr:row>49</xdr:row>
      <xdr:rowOff>44824</xdr:rowOff>
    </xdr:to>
    <xdr:sp macro="" textlink="">
      <xdr:nvSpPr>
        <xdr:cNvPr id="1440" name="Flèche vers le bas 143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48</xdr:row>
      <xdr:rowOff>313765</xdr:rowOff>
    </xdr:from>
    <xdr:to>
      <xdr:col>0</xdr:col>
      <xdr:colOff>1165413</xdr:colOff>
      <xdr:row>49</xdr:row>
      <xdr:rowOff>44824</xdr:rowOff>
    </xdr:to>
    <xdr:sp macro="" textlink="">
      <xdr:nvSpPr>
        <xdr:cNvPr id="1441" name="Flèche vers le bas 144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48</xdr:row>
      <xdr:rowOff>313765</xdr:rowOff>
    </xdr:from>
    <xdr:to>
      <xdr:col>0</xdr:col>
      <xdr:colOff>1165413</xdr:colOff>
      <xdr:row>49</xdr:row>
      <xdr:rowOff>44824</xdr:rowOff>
    </xdr:to>
    <xdr:sp macro="" textlink="">
      <xdr:nvSpPr>
        <xdr:cNvPr id="1442" name="Flèche vers le bas 144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48</xdr:row>
      <xdr:rowOff>313765</xdr:rowOff>
    </xdr:from>
    <xdr:to>
      <xdr:col>0</xdr:col>
      <xdr:colOff>1165413</xdr:colOff>
      <xdr:row>49</xdr:row>
      <xdr:rowOff>44824</xdr:rowOff>
    </xdr:to>
    <xdr:sp macro="" textlink="">
      <xdr:nvSpPr>
        <xdr:cNvPr id="1443" name="Flèche vers le bas 144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48</xdr:row>
      <xdr:rowOff>313765</xdr:rowOff>
    </xdr:from>
    <xdr:to>
      <xdr:col>0</xdr:col>
      <xdr:colOff>1165413</xdr:colOff>
      <xdr:row>49</xdr:row>
      <xdr:rowOff>44824</xdr:rowOff>
    </xdr:to>
    <xdr:sp macro="" textlink="">
      <xdr:nvSpPr>
        <xdr:cNvPr id="1444" name="Flèche vers le bas 144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49</xdr:row>
      <xdr:rowOff>313765</xdr:rowOff>
    </xdr:from>
    <xdr:to>
      <xdr:col>0</xdr:col>
      <xdr:colOff>1165413</xdr:colOff>
      <xdr:row>50</xdr:row>
      <xdr:rowOff>44824</xdr:rowOff>
    </xdr:to>
    <xdr:sp macro="" textlink="">
      <xdr:nvSpPr>
        <xdr:cNvPr id="1445" name="Flèche vers le bas 144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48</xdr:row>
      <xdr:rowOff>313765</xdr:rowOff>
    </xdr:from>
    <xdr:to>
      <xdr:col>0</xdr:col>
      <xdr:colOff>1165413</xdr:colOff>
      <xdr:row>49</xdr:row>
      <xdr:rowOff>44824</xdr:rowOff>
    </xdr:to>
    <xdr:sp macro="" textlink="">
      <xdr:nvSpPr>
        <xdr:cNvPr id="1446" name="Flèche vers le bas 144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49</xdr:row>
      <xdr:rowOff>313765</xdr:rowOff>
    </xdr:from>
    <xdr:to>
      <xdr:col>0</xdr:col>
      <xdr:colOff>1165413</xdr:colOff>
      <xdr:row>50</xdr:row>
      <xdr:rowOff>44824</xdr:rowOff>
    </xdr:to>
    <xdr:sp macro="" textlink="">
      <xdr:nvSpPr>
        <xdr:cNvPr id="1447" name="Flèche vers le bas 144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49</xdr:row>
      <xdr:rowOff>313765</xdr:rowOff>
    </xdr:from>
    <xdr:to>
      <xdr:col>0</xdr:col>
      <xdr:colOff>1165413</xdr:colOff>
      <xdr:row>50</xdr:row>
      <xdr:rowOff>44824</xdr:rowOff>
    </xdr:to>
    <xdr:sp macro="" textlink="">
      <xdr:nvSpPr>
        <xdr:cNvPr id="1448" name="Flèche vers le bas 144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48</xdr:row>
      <xdr:rowOff>313765</xdr:rowOff>
    </xdr:from>
    <xdr:to>
      <xdr:col>0</xdr:col>
      <xdr:colOff>1165413</xdr:colOff>
      <xdr:row>49</xdr:row>
      <xdr:rowOff>44824</xdr:rowOff>
    </xdr:to>
    <xdr:sp macro="" textlink="">
      <xdr:nvSpPr>
        <xdr:cNvPr id="1449" name="Flèche vers le bas 1448"/>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49</xdr:row>
      <xdr:rowOff>313765</xdr:rowOff>
    </xdr:from>
    <xdr:to>
      <xdr:col>0</xdr:col>
      <xdr:colOff>1165413</xdr:colOff>
      <xdr:row>50</xdr:row>
      <xdr:rowOff>44824</xdr:rowOff>
    </xdr:to>
    <xdr:sp macro="" textlink="">
      <xdr:nvSpPr>
        <xdr:cNvPr id="1450" name="Flèche vers le bas 144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49</xdr:row>
      <xdr:rowOff>313765</xdr:rowOff>
    </xdr:from>
    <xdr:to>
      <xdr:col>0</xdr:col>
      <xdr:colOff>1165413</xdr:colOff>
      <xdr:row>50</xdr:row>
      <xdr:rowOff>44824</xdr:rowOff>
    </xdr:to>
    <xdr:sp macro="" textlink="">
      <xdr:nvSpPr>
        <xdr:cNvPr id="1451" name="Flèche vers le bas 145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49</xdr:row>
      <xdr:rowOff>313765</xdr:rowOff>
    </xdr:from>
    <xdr:to>
      <xdr:col>0</xdr:col>
      <xdr:colOff>1165413</xdr:colOff>
      <xdr:row>50</xdr:row>
      <xdr:rowOff>44824</xdr:rowOff>
    </xdr:to>
    <xdr:sp macro="" textlink="">
      <xdr:nvSpPr>
        <xdr:cNvPr id="1452" name="Flèche vers le bas 145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49</xdr:row>
      <xdr:rowOff>313765</xdr:rowOff>
    </xdr:from>
    <xdr:to>
      <xdr:col>0</xdr:col>
      <xdr:colOff>1165413</xdr:colOff>
      <xdr:row>50</xdr:row>
      <xdr:rowOff>44824</xdr:rowOff>
    </xdr:to>
    <xdr:sp macro="" textlink="">
      <xdr:nvSpPr>
        <xdr:cNvPr id="1453" name="Flèche vers le bas 145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49</xdr:row>
      <xdr:rowOff>313765</xdr:rowOff>
    </xdr:from>
    <xdr:to>
      <xdr:col>0</xdr:col>
      <xdr:colOff>1165413</xdr:colOff>
      <xdr:row>50</xdr:row>
      <xdr:rowOff>44824</xdr:rowOff>
    </xdr:to>
    <xdr:sp macro="" textlink="">
      <xdr:nvSpPr>
        <xdr:cNvPr id="1454" name="Flèche vers le bas 145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49</xdr:row>
      <xdr:rowOff>313765</xdr:rowOff>
    </xdr:from>
    <xdr:to>
      <xdr:col>0</xdr:col>
      <xdr:colOff>1165413</xdr:colOff>
      <xdr:row>50</xdr:row>
      <xdr:rowOff>44824</xdr:rowOff>
    </xdr:to>
    <xdr:sp macro="" textlink="">
      <xdr:nvSpPr>
        <xdr:cNvPr id="1455" name="Flèche vers le bas 145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49</xdr:row>
      <xdr:rowOff>313765</xdr:rowOff>
    </xdr:from>
    <xdr:to>
      <xdr:col>0</xdr:col>
      <xdr:colOff>1165413</xdr:colOff>
      <xdr:row>50</xdr:row>
      <xdr:rowOff>44824</xdr:rowOff>
    </xdr:to>
    <xdr:sp macro="" textlink="">
      <xdr:nvSpPr>
        <xdr:cNvPr id="1456" name="Flèche vers le bas 145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50</xdr:row>
      <xdr:rowOff>313765</xdr:rowOff>
    </xdr:from>
    <xdr:to>
      <xdr:col>0</xdr:col>
      <xdr:colOff>1165413</xdr:colOff>
      <xdr:row>51</xdr:row>
      <xdr:rowOff>44824</xdr:rowOff>
    </xdr:to>
    <xdr:sp macro="" textlink="">
      <xdr:nvSpPr>
        <xdr:cNvPr id="1457" name="Flèche vers le bas 145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49</xdr:row>
      <xdr:rowOff>313765</xdr:rowOff>
    </xdr:from>
    <xdr:to>
      <xdr:col>0</xdr:col>
      <xdr:colOff>1165413</xdr:colOff>
      <xdr:row>50</xdr:row>
      <xdr:rowOff>44824</xdr:rowOff>
    </xdr:to>
    <xdr:sp macro="" textlink="">
      <xdr:nvSpPr>
        <xdr:cNvPr id="1458" name="Flèche vers le bas 145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50</xdr:row>
      <xdr:rowOff>313765</xdr:rowOff>
    </xdr:from>
    <xdr:to>
      <xdr:col>0</xdr:col>
      <xdr:colOff>1165413</xdr:colOff>
      <xdr:row>51</xdr:row>
      <xdr:rowOff>44824</xdr:rowOff>
    </xdr:to>
    <xdr:sp macro="" textlink="">
      <xdr:nvSpPr>
        <xdr:cNvPr id="1459" name="Flèche vers le bas 145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50</xdr:row>
      <xdr:rowOff>313765</xdr:rowOff>
    </xdr:from>
    <xdr:to>
      <xdr:col>0</xdr:col>
      <xdr:colOff>1165413</xdr:colOff>
      <xdr:row>51</xdr:row>
      <xdr:rowOff>44824</xdr:rowOff>
    </xdr:to>
    <xdr:sp macro="" textlink="">
      <xdr:nvSpPr>
        <xdr:cNvPr id="1460" name="Flèche vers le bas 145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49</xdr:row>
      <xdr:rowOff>313765</xdr:rowOff>
    </xdr:from>
    <xdr:to>
      <xdr:col>0</xdr:col>
      <xdr:colOff>1165413</xdr:colOff>
      <xdr:row>50</xdr:row>
      <xdr:rowOff>44824</xdr:rowOff>
    </xdr:to>
    <xdr:sp macro="" textlink="">
      <xdr:nvSpPr>
        <xdr:cNvPr id="1461" name="Flèche vers le bas 1460"/>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50</xdr:row>
      <xdr:rowOff>313765</xdr:rowOff>
    </xdr:from>
    <xdr:to>
      <xdr:col>0</xdr:col>
      <xdr:colOff>1165413</xdr:colOff>
      <xdr:row>51</xdr:row>
      <xdr:rowOff>44824</xdr:rowOff>
    </xdr:to>
    <xdr:sp macro="" textlink="">
      <xdr:nvSpPr>
        <xdr:cNvPr id="1462" name="Flèche vers le bas 146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50</xdr:row>
      <xdr:rowOff>313765</xdr:rowOff>
    </xdr:from>
    <xdr:to>
      <xdr:col>0</xdr:col>
      <xdr:colOff>1165413</xdr:colOff>
      <xdr:row>51</xdr:row>
      <xdr:rowOff>44824</xdr:rowOff>
    </xdr:to>
    <xdr:sp macro="" textlink="">
      <xdr:nvSpPr>
        <xdr:cNvPr id="1463" name="Flèche vers le bas 146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50</xdr:row>
      <xdr:rowOff>313765</xdr:rowOff>
    </xdr:from>
    <xdr:to>
      <xdr:col>0</xdr:col>
      <xdr:colOff>1165413</xdr:colOff>
      <xdr:row>51</xdr:row>
      <xdr:rowOff>44824</xdr:rowOff>
    </xdr:to>
    <xdr:sp macro="" textlink="">
      <xdr:nvSpPr>
        <xdr:cNvPr id="1464" name="Flèche vers le bas 146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50</xdr:row>
      <xdr:rowOff>313765</xdr:rowOff>
    </xdr:from>
    <xdr:to>
      <xdr:col>0</xdr:col>
      <xdr:colOff>1165413</xdr:colOff>
      <xdr:row>51</xdr:row>
      <xdr:rowOff>44824</xdr:rowOff>
    </xdr:to>
    <xdr:sp macro="" textlink="">
      <xdr:nvSpPr>
        <xdr:cNvPr id="1465" name="Flèche vers le bas 146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50</xdr:row>
      <xdr:rowOff>313765</xdr:rowOff>
    </xdr:from>
    <xdr:to>
      <xdr:col>0</xdr:col>
      <xdr:colOff>1165413</xdr:colOff>
      <xdr:row>51</xdr:row>
      <xdr:rowOff>44824</xdr:rowOff>
    </xdr:to>
    <xdr:sp macro="" textlink="">
      <xdr:nvSpPr>
        <xdr:cNvPr id="1466" name="Flèche vers le bas 146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50</xdr:row>
      <xdr:rowOff>313765</xdr:rowOff>
    </xdr:from>
    <xdr:to>
      <xdr:col>0</xdr:col>
      <xdr:colOff>1165413</xdr:colOff>
      <xdr:row>51</xdr:row>
      <xdr:rowOff>44824</xdr:rowOff>
    </xdr:to>
    <xdr:sp macro="" textlink="">
      <xdr:nvSpPr>
        <xdr:cNvPr id="1467" name="Flèche vers le bas 146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50</xdr:row>
      <xdr:rowOff>313765</xdr:rowOff>
    </xdr:from>
    <xdr:to>
      <xdr:col>0</xdr:col>
      <xdr:colOff>1165413</xdr:colOff>
      <xdr:row>51</xdr:row>
      <xdr:rowOff>44824</xdr:rowOff>
    </xdr:to>
    <xdr:sp macro="" textlink="">
      <xdr:nvSpPr>
        <xdr:cNvPr id="1468" name="Flèche vers le bas 146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51</xdr:row>
      <xdr:rowOff>313765</xdr:rowOff>
    </xdr:from>
    <xdr:to>
      <xdr:col>0</xdr:col>
      <xdr:colOff>1165413</xdr:colOff>
      <xdr:row>52</xdr:row>
      <xdr:rowOff>44824</xdr:rowOff>
    </xdr:to>
    <xdr:sp macro="" textlink="">
      <xdr:nvSpPr>
        <xdr:cNvPr id="1469" name="Flèche vers le bas 146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50</xdr:row>
      <xdr:rowOff>313765</xdr:rowOff>
    </xdr:from>
    <xdr:to>
      <xdr:col>0</xdr:col>
      <xdr:colOff>1165413</xdr:colOff>
      <xdr:row>51</xdr:row>
      <xdr:rowOff>44824</xdr:rowOff>
    </xdr:to>
    <xdr:sp macro="" textlink="">
      <xdr:nvSpPr>
        <xdr:cNvPr id="1470" name="Flèche vers le bas 146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51</xdr:row>
      <xdr:rowOff>313765</xdr:rowOff>
    </xdr:from>
    <xdr:to>
      <xdr:col>0</xdr:col>
      <xdr:colOff>1165413</xdr:colOff>
      <xdr:row>52</xdr:row>
      <xdr:rowOff>44824</xdr:rowOff>
    </xdr:to>
    <xdr:sp macro="" textlink="">
      <xdr:nvSpPr>
        <xdr:cNvPr id="1471" name="Flèche vers le bas 147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51</xdr:row>
      <xdr:rowOff>313765</xdr:rowOff>
    </xdr:from>
    <xdr:to>
      <xdr:col>0</xdr:col>
      <xdr:colOff>1165413</xdr:colOff>
      <xdr:row>52</xdr:row>
      <xdr:rowOff>44824</xdr:rowOff>
    </xdr:to>
    <xdr:sp macro="" textlink="">
      <xdr:nvSpPr>
        <xdr:cNvPr id="1472" name="Flèche vers le bas 147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50</xdr:row>
      <xdr:rowOff>313765</xdr:rowOff>
    </xdr:from>
    <xdr:to>
      <xdr:col>0</xdr:col>
      <xdr:colOff>1165413</xdr:colOff>
      <xdr:row>51</xdr:row>
      <xdr:rowOff>44824</xdr:rowOff>
    </xdr:to>
    <xdr:sp macro="" textlink="">
      <xdr:nvSpPr>
        <xdr:cNvPr id="1473" name="Flèche vers le bas 1472"/>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51</xdr:row>
      <xdr:rowOff>313765</xdr:rowOff>
    </xdr:from>
    <xdr:to>
      <xdr:col>0</xdr:col>
      <xdr:colOff>1165413</xdr:colOff>
      <xdr:row>52</xdr:row>
      <xdr:rowOff>44824</xdr:rowOff>
    </xdr:to>
    <xdr:sp macro="" textlink="">
      <xdr:nvSpPr>
        <xdr:cNvPr id="1474" name="Flèche vers le bas 147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51</xdr:row>
      <xdr:rowOff>313765</xdr:rowOff>
    </xdr:from>
    <xdr:to>
      <xdr:col>0</xdr:col>
      <xdr:colOff>1165413</xdr:colOff>
      <xdr:row>52</xdr:row>
      <xdr:rowOff>44824</xdr:rowOff>
    </xdr:to>
    <xdr:sp macro="" textlink="">
      <xdr:nvSpPr>
        <xdr:cNvPr id="1475" name="Flèche vers le bas 147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51</xdr:row>
      <xdr:rowOff>313765</xdr:rowOff>
    </xdr:from>
    <xdr:to>
      <xdr:col>0</xdr:col>
      <xdr:colOff>1165413</xdr:colOff>
      <xdr:row>52</xdr:row>
      <xdr:rowOff>44824</xdr:rowOff>
    </xdr:to>
    <xdr:sp macro="" textlink="">
      <xdr:nvSpPr>
        <xdr:cNvPr id="1476" name="Flèche vers le bas 147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51</xdr:row>
      <xdr:rowOff>313765</xdr:rowOff>
    </xdr:from>
    <xdr:to>
      <xdr:col>0</xdr:col>
      <xdr:colOff>1165413</xdr:colOff>
      <xdr:row>52</xdr:row>
      <xdr:rowOff>44824</xdr:rowOff>
    </xdr:to>
    <xdr:sp macro="" textlink="">
      <xdr:nvSpPr>
        <xdr:cNvPr id="1477" name="Flèche vers le bas 147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51</xdr:row>
      <xdr:rowOff>313765</xdr:rowOff>
    </xdr:from>
    <xdr:to>
      <xdr:col>0</xdr:col>
      <xdr:colOff>1165413</xdr:colOff>
      <xdr:row>52</xdr:row>
      <xdr:rowOff>44824</xdr:rowOff>
    </xdr:to>
    <xdr:sp macro="" textlink="">
      <xdr:nvSpPr>
        <xdr:cNvPr id="1478" name="Flèche vers le bas 147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51</xdr:row>
      <xdr:rowOff>313765</xdr:rowOff>
    </xdr:from>
    <xdr:to>
      <xdr:col>0</xdr:col>
      <xdr:colOff>1165413</xdr:colOff>
      <xdr:row>52</xdr:row>
      <xdr:rowOff>44824</xdr:rowOff>
    </xdr:to>
    <xdr:sp macro="" textlink="">
      <xdr:nvSpPr>
        <xdr:cNvPr id="1479" name="Flèche vers le bas 147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51</xdr:row>
      <xdr:rowOff>313765</xdr:rowOff>
    </xdr:from>
    <xdr:to>
      <xdr:col>0</xdr:col>
      <xdr:colOff>1165413</xdr:colOff>
      <xdr:row>52</xdr:row>
      <xdr:rowOff>44824</xdr:rowOff>
    </xdr:to>
    <xdr:sp macro="" textlink="">
      <xdr:nvSpPr>
        <xdr:cNvPr id="1480" name="Flèche vers le bas 147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52</xdr:row>
      <xdr:rowOff>313765</xdr:rowOff>
    </xdr:from>
    <xdr:to>
      <xdr:col>0</xdr:col>
      <xdr:colOff>1165413</xdr:colOff>
      <xdr:row>53</xdr:row>
      <xdr:rowOff>44824</xdr:rowOff>
    </xdr:to>
    <xdr:sp macro="" textlink="">
      <xdr:nvSpPr>
        <xdr:cNvPr id="1481" name="Flèche vers le bas 148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51</xdr:row>
      <xdr:rowOff>313765</xdr:rowOff>
    </xdr:from>
    <xdr:to>
      <xdr:col>0</xdr:col>
      <xdr:colOff>1165413</xdr:colOff>
      <xdr:row>52</xdr:row>
      <xdr:rowOff>44824</xdr:rowOff>
    </xdr:to>
    <xdr:sp macro="" textlink="">
      <xdr:nvSpPr>
        <xdr:cNvPr id="1482" name="Flèche vers le bas 148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52</xdr:row>
      <xdr:rowOff>313765</xdr:rowOff>
    </xdr:from>
    <xdr:to>
      <xdr:col>0</xdr:col>
      <xdr:colOff>1165413</xdr:colOff>
      <xdr:row>53</xdr:row>
      <xdr:rowOff>44824</xdr:rowOff>
    </xdr:to>
    <xdr:sp macro="" textlink="">
      <xdr:nvSpPr>
        <xdr:cNvPr id="1483" name="Flèche vers le bas 148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52</xdr:row>
      <xdr:rowOff>313765</xdr:rowOff>
    </xdr:from>
    <xdr:to>
      <xdr:col>0</xdr:col>
      <xdr:colOff>1165413</xdr:colOff>
      <xdr:row>53</xdr:row>
      <xdr:rowOff>44824</xdr:rowOff>
    </xdr:to>
    <xdr:sp macro="" textlink="">
      <xdr:nvSpPr>
        <xdr:cNvPr id="1484" name="Flèche vers le bas 148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51</xdr:row>
      <xdr:rowOff>313765</xdr:rowOff>
    </xdr:from>
    <xdr:to>
      <xdr:col>0</xdr:col>
      <xdr:colOff>1165413</xdr:colOff>
      <xdr:row>52</xdr:row>
      <xdr:rowOff>44824</xdr:rowOff>
    </xdr:to>
    <xdr:sp macro="" textlink="">
      <xdr:nvSpPr>
        <xdr:cNvPr id="1485" name="Flèche vers le bas 1484"/>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52</xdr:row>
      <xdr:rowOff>313765</xdr:rowOff>
    </xdr:from>
    <xdr:to>
      <xdr:col>0</xdr:col>
      <xdr:colOff>1165413</xdr:colOff>
      <xdr:row>53</xdr:row>
      <xdr:rowOff>44824</xdr:rowOff>
    </xdr:to>
    <xdr:sp macro="" textlink="">
      <xdr:nvSpPr>
        <xdr:cNvPr id="1486" name="Flèche vers le bas 148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52</xdr:row>
      <xdr:rowOff>313765</xdr:rowOff>
    </xdr:from>
    <xdr:to>
      <xdr:col>0</xdr:col>
      <xdr:colOff>1165413</xdr:colOff>
      <xdr:row>53</xdr:row>
      <xdr:rowOff>44824</xdr:rowOff>
    </xdr:to>
    <xdr:sp macro="" textlink="">
      <xdr:nvSpPr>
        <xdr:cNvPr id="1487" name="Flèche vers le bas 148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52</xdr:row>
      <xdr:rowOff>313765</xdr:rowOff>
    </xdr:from>
    <xdr:to>
      <xdr:col>0</xdr:col>
      <xdr:colOff>1165413</xdr:colOff>
      <xdr:row>53</xdr:row>
      <xdr:rowOff>44824</xdr:rowOff>
    </xdr:to>
    <xdr:sp macro="" textlink="">
      <xdr:nvSpPr>
        <xdr:cNvPr id="1488" name="Flèche vers le bas 148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52</xdr:row>
      <xdr:rowOff>313765</xdr:rowOff>
    </xdr:from>
    <xdr:to>
      <xdr:col>0</xdr:col>
      <xdr:colOff>1165413</xdr:colOff>
      <xdr:row>53</xdr:row>
      <xdr:rowOff>44824</xdr:rowOff>
    </xdr:to>
    <xdr:sp macro="" textlink="">
      <xdr:nvSpPr>
        <xdr:cNvPr id="1489" name="Flèche vers le bas 148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52</xdr:row>
      <xdr:rowOff>313765</xdr:rowOff>
    </xdr:from>
    <xdr:to>
      <xdr:col>0</xdr:col>
      <xdr:colOff>1165413</xdr:colOff>
      <xdr:row>53</xdr:row>
      <xdr:rowOff>44824</xdr:rowOff>
    </xdr:to>
    <xdr:sp macro="" textlink="">
      <xdr:nvSpPr>
        <xdr:cNvPr id="1490" name="Flèche vers le bas 148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52</xdr:row>
      <xdr:rowOff>313765</xdr:rowOff>
    </xdr:from>
    <xdr:to>
      <xdr:col>0</xdr:col>
      <xdr:colOff>1165413</xdr:colOff>
      <xdr:row>53</xdr:row>
      <xdr:rowOff>44824</xdr:rowOff>
    </xdr:to>
    <xdr:sp macro="" textlink="">
      <xdr:nvSpPr>
        <xdr:cNvPr id="1491" name="Flèche vers le bas 149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52</xdr:row>
      <xdr:rowOff>313765</xdr:rowOff>
    </xdr:from>
    <xdr:to>
      <xdr:col>0</xdr:col>
      <xdr:colOff>1165413</xdr:colOff>
      <xdr:row>53</xdr:row>
      <xdr:rowOff>44824</xdr:rowOff>
    </xdr:to>
    <xdr:sp macro="" textlink="">
      <xdr:nvSpPr>
        <xdr:cNvPr id="1492" name="Flèche vers le bas 149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53</xdr:row>
      <xdr:rowOff>313765</xdr:rowOff>
    </xdr:from>
    <xdr:to>
      <xdr:col>0</xdr:col>
      <xdr:colOff>1165413</xdr:colOff>
      <xdr:row>54</xdr:row>
      <xdr:rowOff>44824</xdr:rowOff>
    </xdr:to>
    <xdr:sp macro="" textlink="">
      <xdr:nvSpPr>
        <xdr:cNvPr id="1493" name="Flèche vers le bas 149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52</xdr:row>
      <xdr:rowOff>313765</xdr:rowOff>
    </xdr:from>
    <xdr:to>
      <xdr:col>0</xdr:col>
      <xdr:colOff>1165413</xdr:colOff>
      <xdr:row>53</xdr:row>
      <xdr:rowOff>44824</xdr:rowOff>
    </xdr:to>
    <xdr:sp macro="" textlink="">
      <xdr:nvSpPr>
        <xdr:cNvPr id="1494" name="Flèche vers le bas 149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53</xdr:row>
      <xdr:rowOff>313765</xdr:rowOff>
    </xdr:from>
    <xdr:to>
      <xdr:col>0</xdr:col>
      <xdr:colOff>1165413</xdr:colOff>
      <xdr:row>54</xdr:row>
      <xdr:rowOff>44824</xdr:rowOff>
    </xdr:to>
    <xdr:sp macro="" textlink="">
      <xdr:nvSpPr>
        <xdr:cNvPr id="1495" name="Flèche vers le bas 149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53</xdr:row>
      <xdr:rowOff>313765</xdr:rowOff>
    </xdr:from>
    <xdr:to>
      <xdr:col>0</xdr:col>
      <xdr:colOff>1165413</xdr:colOff>
      <xdr:row>54</xdr:row>
      <xdr:rowOff>44824</xdr:rowOff>
    </xdr:to>
    <xdr:sp macro="" textlink="">
      <xdr:nvSpPr>
        <xdr:cNvPr id="1496" name="Flèche vers le bas 149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52</xdr:row>
      <xdr:rowOff>313765</xdr:rowOff>
    </xdr:from>
    <xdr:to>
      <xdr:col>0</xdr:col>
      <xdr:colOff>1165413</xdr:colOff>
      <xdr:row>53</xdr:row>
      <xdr:rowOff>44824</xdr:rowOff>
    </xdr:to>
    <xdr:sp macro="" textlink="">
      <xdr:nvSpPr>
        <xdr:cNvPr id="1497" name="Flèche vers le bas 1496"/>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53</xdr:row>
      <xdr:rowOff>313765</xdr:rowOff>
    </xdr:from>
    <xdr:to>
      <xdr:col>0</xdr:col>
      <xdr:colOff>1165413</xdr:colOff>
      <xdr:row>54</xdr:row>
      <xdr:rowOff>44824</xdr:rowOff>
    </xdr:to>
    <xdr:sp macro="" textlink="">
      <xdr:nvSpPr>
        <xdr:cNvPr id="1498" name="Flèche vers le bas 149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53</xdr:row>
      <xdr:rowOff>313765</xdr:rowOff>
    </xdr:from>
    <xdr:to>
      <xdr:col>0</xdr:col>
      <xdr:colOff>1165413</xdr:colOff>
      <xdr:row>54</xdr:row>
      <xdr:rowOff>44824</xdr:rowOff>
    </xdr:to>
    <xdr:sp macro="" textlink="">
      <xdr:nvSpPr>
        <xdr:cNvPr id="1499" name="Flèche vers le bas 149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53</xdr:row>
      <xdr:rowOff>313765</xdr:rowOff>
    </xdr:from>
    <xdr:to>
      <xdr:col>0</xdr:col>
      <xdr:colOff>1165413</xdr:colOff>
      <xdr:row>54</xdr:row>
      <xdr:rowOff>44824</xdr:rowOff>
    </xdr:to>
    <xdr:sp macro="" textlink="">
      <xdr:nvSpPr>
        <xdr:cNvPr id="1500" name="Flèche vers le bas 149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53</xdr:row>
      <xdr:rowOff>313765</xdr:rowOff>
    </xdr:from>
    <xdr:to>
      <xdr:col>0</xdr:col>
      <xdr:colOff>1165413</xdr:colOff>
      <xdr:row>54</xdr:row>
      <xdr:rowOff>44824</xdr:rowOff>
    </xdr:to>
    <xdr:sp macro="" textlink="">
      <xdr:nvSpPr>
        <xdr:cNvPr id="1501" name="Flèche vers le bas 150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53</xdr:row>
      <xdr:rowOff>313765</xdr:rowOff>
    </xdr:from>
    <xdr:to>
      <xdr:col>0</xdr:col>
      <xdr:colOff>1165413</xdr:colOff>
      <xdr:row>54</xdr:row>
      <xdr:rowOff>44824</xdr:rowOff>
    </xdr:to>
    <xdr:sp macro="" textlink="">
      <xdr:nvSpPr>
        <xdr:cNvPr id="1502" name="Flèche vers le bas 150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53</xdr:row>
      <xdr:rowOff>313765</xdr:rowOff>
    </xdr:from>
    <xdr:to>
      <xdr:col>0</xdr:col>
      <xdr:colOff>1165413</xdr:colOff>
      <xdr:row>54</xdr:row>
      <xdr:rowOff>44824</xdr:rowOff>
    </xdr:to>
    <xdr:sp macro="" textlink="">
      <xdr:nvSpPr>
        <xdr:cNvPr id="1503" name="Flèche vers le bas 150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53</xdr:row>
      <xdr:rowOff>313765</xdr:rowOff>
    </xdr:from>
    <xdr:to>
      <xdr:col>0</xdr:col>
      <xdr:colOff>1165413</xdr:colOff>
      <xdr:row>54</xdr:row>
      <xdr:rowOff>44824</xdr:rowOff>
    </xdr:to>
    <xdr:sp macro="" textlink="">
      <xdr:nvSpPr>
        <xdr:cNvPr id="1504" name="Flèche vers le bas 150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54</xdr:row>
      <xdr:rowOff>313765</xdr:rowOff>
    </xdr:from>
    <xdr:to>
      <xdr:col>0</xdr:col>
      <xdr:colOff>1165413</xdr:colOff>
      <xdr:row>55</xdr:row>
      <xdr:rowOff>44824</xdr:rowOff>
    </xdr:to>
    <xdr:sp macro="" textlink="">
      <xdr:nvSpPr>
        <xdr:cNvPr id="1505" name="Flèche vers le bas 150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53</xdr:row>
      <xdr:rowOff>313765</xdr:rowOff>
    </xdr:from>
    <xdr:to>
      <xdr:col>0</xdr:col>
      <xdr:colOff>1165413</xdr:colOff>
      <xdr:row>54</xdr:row>
      <xdr:rowOff>44824</xdr:rowOff>
    </xdr:to>
    <xdr:sp macro="" textlink="">
      <xdr:nvSpPr>
        <xdr:cNvPr id="1506" name="Flèche vers le bas 150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54</xdr:row>
      <xdr:rowOff>313765</xdr:rowOff>
    </xdr:from>
    <xdr:to>
      <xdr:col>0</xdr:col>
      <xdr:colOff>1165413</xdr:colOff>
      <xdr:row>55</xdr:row>
      <xdr:rowOff>44824</xdr:rowOff>
    </xdr:to>
    <xdr:sp macro="" textlink="">
      <xdr:nvSpPr>
        <xdr:cNvPr id="1507" name="Flèche vers le bas 150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54</xdr:row>
      <xdr:rowOff>313765</xdr:rowOff>
    </xdr:from>
    <xdr:to>
      <xdr:col>0</xdr:col>
      <xdr:colOff>1165413</xdr:colOff>
      <xdr:row>55</xdr:row>
      <xdr:rowOff>44824</xdr:rowOff>
    </xdr:to>
    <xdr:sp macro="" textlink="">
      <xdr:nvSpPr>
        <xdr:cNvPr id="1508" name="Flèche vers le bas 150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53</xdr:row>
      <xdr:rowOff>313765</xdr:rowOff>
    </xdr:from>
    <xdr:to>
      <xdr:col>0</xdr:col>
      <xdr:colOff>1165413</xdr:colOff>
      <xdr:row>54</xdr:row>
      <xdr:rowOff>44824</xdr:rowOff>
    </xdr:to>
    <xdr:sp macro="" textlink="">
      <xdr:nvSpPr>
        <xdr:cNvPr id="1509" name="Flèche vers le bas 1508"/>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54</xdr:row>
      <xdr:rowOff>313765</xdr:rowOff>
    </xdr:from>
    <xdr:to>
      <xdr:col>0</xdr:col>
      <xdr:colOff>1165413</xdr:colOff>
      <xdr:row>55</xdr:row>
      <xdr:rowOff>44824</xdr:rowOff>
    </xdr:to>
    <xdr:sp macro="" textlink="">
      <xdr:nvSpPr>
        <xdr:cNvPr id="1510" name="Flèche vers le bas 150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54</xdr:row>
      <xdr:rowOff>313765</xdr:rowOff>
    </xdr:from>
    <xdr:to>
      <xdr:col>0</xdr:col>
      <xdr:colOff>1165413</xdr:colOff>
      <xdr:row>55</xdr:row>
      <xdr:rowOff>44824</xdr:rowOff>
    </xdr:to>
    <xdr:sp macro="" textlink="">
      <xdr:nvSpPr>
        <xdr:cNvPr id="1511" name="Flèche vers le bas 151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54</xdr:row>
      <xdr:rowOff>313765</xdr:rowOff>
    </xdr:from>
    <xdr:to>
      <xdr:col>0</xdr:col>
      <xdr:colOff>1165413</xdr:colOff>
      <xdr:row>55</xdr:row>
      <xdr:rowOff>44824</xdr:rowOff>
    </xdr:to>
    <xdr:sp macro="" textlink="">
      <xdr:nvSpPr>
        <xdr:cNvPr id="1512" name="Flèche vers le bas 151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54</xdr:row>
      <xdr:rowOff>313765</xdr:rowOff>
    </xdr:from>
    <xdr:to>
      <xdr:col>0</xdr:col>
      <xdr:colOff>1165413</xdr:colOff>
      <xdr:row>55</xdr:row>
      <xdr:rowOff>44824</xdr:rowOff>
    </xdr:to>
    <xdr:sp macro="" textlink="">
      <xdr:nvSpPr>
        <xdr:cNvPr id="1513" name="Flèche vers le bas 151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54</xdr:row>
      <xdr:rowOff>313765</xdr:rowOff>
    </xdr:from>
    <xdr:to>
      <xdr:col>0</xdr:col>
      <xdr:colOff>1165413</xdr:colOff>
      <xdr:row>55</xdr:row>
      <xdr:rowOff>44824</xdr:rowOff>
    </xdr:to>
    <xdr:sp macro="" textlink="">
      <xdr:nvSpPr>
        <xdr:cNvPr id="1514" name="Flèche vers le bas 151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54</xdr:row>
      <xdr:rowOff>313765</xdr:rowOff>
    </xdr:from>
    <xdr:to>
      <xdr:col>0</xdr:col>
      <xdr:colOff>1165413</xdr:colOff>
      <xdr:row>55</xdr:row>
      <xdr:rowOff>44824</xdr:rowOff>
    </xdr:to>
    <xdr:sp macro="" textlink="">
      <xdr:nvSpPr>
        <xdr:cNvPr id="1515" name="Flèche vers le bas 151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54</xdr:row>
      <xdr:rowOff>313765</xdr:rowOff>
    </xdr:from>
    <xdr:to>
      <xdr:col>0</xdr:col>
      <xdr:colOff>1165413</xdr:colOff>
      <xdr:row>55</xdr:row>
      <xdr:rowOff>44824</xdr:rowOff>
    </xdr:to>
    <xdr:sp macro="" textlink="">
      <xdr:nvSpPr>
        <xdr:cNvPr id="1516" name="Flèche vers le bas 151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55</xdr:row>
      <xdr:rowOff>313765</xdr:rowOff>
    </xdr:from>
    <xdr:to>
      <xdr:col>0</xdr:col>
      <xdr:colOff>1165413</xdr:colOff>
      <xdr:row>56</xdr:row>
      <xdr:rowOff>44824</xdr:rowOff>
    </xdr:to>
    <xdr:sp macro="" textlink="">
      <xdr:nvSpPr>
        <xdr:cNvPr id="1517" name="Flèche vers le bas 151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54</xdr:row>
      <xdr:rowOff>313765</xdr:rowOff>
    </xdr:from>
    <xdr:to>
      <xdr:col>0</xdr:col>
      <xdr:colOff>1165413</xdr:colOff>
      <xdr:row>55</xdr:row>
      <xdr:rowOff>44824</xdr:rowOff>
    </xdr:to>
    <xdr:sp macro="" textlink="">
      <xdr:nvSpPr>
        <xdr:cNvPr id="1518" name="Flèche vers le bas 151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55</xdr:row>
      <xdr:rowOff>313765</xdr:rowOff>
    </xdr:from>
    <xdr:to>
      <xdr:col>0</xdr:col>
      <xdr:colOff>1165413</xdr:colOff>
      <xdr:row>56</xdr:row>
      <xdr:rowOff>44824</xdr:rowOff>
    </xdr:to>
    <xdr:sp macro="" textlink="">
      <xdr:nvSpPr>
        <xdr:cNvPr id="1519" name="Flèche vers le bas 151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55</xdr:row>
      <xdr:rowOff>313765</xdr:rowOff>
    </xdr:from>
    <xdr:to>
      <xdr:col>0</xdr:col>
      <xdr:colOff>1165413</xdr:colOff>
      <xdr:row>56</xdr:row>
      <xdr:rowOff>44824</xdr:rowOff>
    </xdr:to>
    <xdr:sp macro="" textlink="">
      <xdr:nvSpPr>
        <xdr:cNvPr id="1520" name="Flèche vers le bas 151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54</xdr:row>
      <xdr:rowOff>313765</xdr:rowOff>
    </xdr:from>
    <xdr:to>
      <xdr:col>0</xdr:col>
      <xdr:colOff>1165413</xdr:colOff>
      <xdr:row>55</xdr:row>
      <xdr:rowOff>44824</xdr:rowOff>
    </xdr:to>
    <xdr:sp macro="" textlink="">
      <xdr:nvSpPr>
        <xdr:cNvPr id="1521" name="Flèche vers le bas 1520"/>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55</xdr:row>
      <xdr:rowOff>313765</xdr:rowOff>
    </xdr:from>
    <xdr:to>
      <xdr:col>0</xdr:col>
      <xdr:colOff>1165413</xdr:colOff>
      <xdr:row>56</xdr:row>
      <xdr:rowOff>44824</xdr:rowOff>
    </xdr:to>
    <xdr:sp macro="" textlink="">
      <xdr:nvSpPr>
        <xdr:cNvPr id="1522" name="Flèche vers le bas 152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55</xdr:row>
      <xdr:rowOff>313765</xdr:rowOff>
    </xdr:from>
    <xdr:to>
      <xdr:col>0</xdr:col>
      <xdr:colOff>1165413</xdr:colOff>
      <xdr:row>56</xdr:row>
      <xdr:rowOff>44824</xdr:rowOff>
    </xdr:to>
    <xdr:sp macro="" textlink="">
      <xdr:nvSpPr>
        <xdr:cNvPr id="1523" name="Flèche vers le bas 152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55</xdr:row>
      <xdr:rowOff>313765</xdr:rowOff>
    </xdr:from>
    <xdr:to>
      <xdr:col>0</xdr:col>
      <xdr:colOff>1165413</xdr:colOff>
      <xdr:row>56</xdr:row>
      <xdr:rowOff>44824</xdr:rowOff>
    </xdr:to>
    <xdr:sp macro="" textlink="">
      <xdr:nvSpPr>
        <xdr:cNvPr id="1524" name="Flèche vers le bas 152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55</xdr:row>
      <xdr:rowOff>313765</xdr:rowOff>
    </xdr:from>
    <xdr:to>
      <xdr:col>0</xdr:col>
      <xdr:colOff>1165413</xdr:colOff>
      <xdr:row>56</xdr:row>
      <xdr:rowOff>44824</xdr:rowOff>
    </xdr:to>
    <xdr:sp macro="" textlink="">
      <xdr:nvSpPr>
        <xdr:cNvPr id="1525" name="Flèche vers le bas 152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55</xdr:row>
      <xdr:rowOff>313765</xdr:rowOff>
    </xdr:from>
    <xdr:to>
      <xdr:col>0</xdr:col>
      <xdr:colOff>1165413</xdr:colOff>
      <xdr:row>56</xdr:row>
      <xdr:rowOff>44824</xdr:rowOff>
    </xdr:to>
    <xdr:sp macro="" textlink="">
      <xdr:nvSpPr>
        <xdr:cNvPr id="1526" name="Flèche vers le bas 152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55</xdr:row>
      <xdr:rowOff>313765</xdr:rowOff>
    </xdr:from>
    <xdr:to>
      <xdr:col>0</xdr:col>
      <xdr:colOff>1165413</xdr:colOff>
      <xdr:row>56</xdr:row>
      <xdr:rowOff>44824</xdr:rowOff>
    </xdr:to>
    <xdr:sp macro="" textlink="">
      <xdr:nvSpPr>
        <xdr:cNvPr id="1527" name="Flèche vers le bas 152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55</xdr:row>
      <xdr:rowOff>313765</xdr:rowOff>
    </xdr:from>
    <xdr:to>
      <xdr:col>0</xdr:col>
      <xdr:colOff>1165413</xdr:colOff>
      <xdr:row>56</xdr:row>
      <xdr:rowOff>44824</xdr:rowOff>
    </xdr:to>
    <xdr:sp macro="" textlink="">
      <xdr:nvSpPr>
        <xdr:cNvPr id="1528" name="Flèche vers le bas 152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56</xdr:row>
      <xdr:rowOff>313765</xdr:rowOff>
    </xdr:from>
    <xdr:to>
      <xdr:col>0</xdr:col>
      <xdr:colOff>1165413</xdr:colOff>
      <xdr:row>57</xdr:row>
      <xdr:rowOff>44824</xdr:rowOff>
    </xdr:to>
    <xdr:sp macro="" textlink="">
      <xdr:nvSpPr>
        <xdr:cNvPr id="1529" name="Flèche vers le bas 152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55</xdr:row>
      <xdr:rowOff>313765</xdr:rowOff>
    </xdr:from>
    <xdr:to>
      <xdr:col>0</xdr:col>
      <xdr:colOff>1165413</xdr:colOff>
      <xdr:row>56</xdr:row>
      <xdr:rowOff>44824</xdr:rowOff>
    </xdr:to>
    <xdr:sp macro="" textlink="">
      <xdr:nvSpPr>
        <xdr:cNvPr id="1530" name="Flèche vers le bas 152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56</xdr:row>
      <xdr:rowOff>313765</xdr:rowOff>
    </xdr:from>
    <xdr:to>
      <xdr:col>0</xdr:col>
      <xdr:colOff>1165413</xdr:colOff>
      <xdr:row>57</xdr:row>
      <xdr:rowOff>44824</xdr:rowOff>
    </xdr:to>
    <xdr:sp macro="" textlink="">
      <xdr:nvSpPr>
        <xdr:cNvPr id="1531" name="Flèche vers le bas 153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56</xdr:row>
      <xdr:rowOff>313765</xdr:rowOff>
    </xdr:from>
    <xdr:to>
      <xdr:col>0</xdr:col>
      <xdr:colOff>1165413</xdr:colOff>
      <xdr:row>57</xdr:row>
      <xdr:rowOff>44824</xdr:rowOff>
    </xdr:to>
    <xdr:sp macro="" textlink="">
      <xdr:nvSpPr>
        <xdr:cNvPr id="1532" name="Flèche vers le bas 153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55</xdr:row>
      <xdr:rowOff>313765</xdr:rowOff>
    </xdr:from>
    <xdr:to>
      <xdr:col>0</xdr:col>
      <xdr:colOff>1165413</xdr:colOff>
      <xdr:row>56</xdr:row>
      <xdr:rowOff>44824</xdr:rowOff>
    </xdr:to>
    <xdr:sp macro="" textlink="">
      <xdr:nvSpPr>
        <xdr:cNvPr id="1533" name="Flèche vers le bas 1532"/>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56</xdr:row>
      <xdr:rowOff>313765</xdr:rowOff>
    </xdr:from>
    <xdr:to>
      <xdr:col>0</xdr:col>
      <xdr:colOff>1165413</xdr:colOff>
      <xdr:row>57</xdr:row>
      <xdr:rowOff>44824</xdr:rowOff>
    </xdr:to>
    <xdr:sp macro="" textlink="">
      <xdr:nvSpPr>
        <xdr:cNvPr id="1534" name="Flèche vers le bas 153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56</xdr:row>
      <xdr:rowOff>313765</xdr:rowOff>
    </xdr:from>
    <xdr:to>
      <xdr:col>0</xdr:col>
      <xdr:colOff>1165413</xdr:colOff>
      <xdr:row>57</xdr:row>
      <xdr:rowOff>44824</xdr:rowOff>
    </xdr:to>
    <xdr:sp macro="" textlink="">
      <xdr:nvSpPr>
        <xdr:cNvPr id="1535" name="Flèche vers le bas 153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56</xdr:row>
      <xdr:rowOff>313765</xdr:rowOff>
    </xdr:from>
    <xdr:to>
      <xdr:col>0</xdr:col>
      <xdr:colOff>1165413</xdr:colOff>
      <xdr:row>57</xdr:row>
      <xdr:rowOff>44824</xdr:rowOff>
    </xdr:to>
    <xdr:sp macro="" textlink="">
      <xdr:nvSpPr>
        <xdr:cNvPr id="1536" name="Flèche vers le bas 153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56</xdr:row>
      <xdr:rowOff>313765</xdr:rowOff>
    </xdr:from>
    <xdr:to>
      <xdr:col>0</xdr:col>
      <xdr:colOff>1165413</xdr:colOff>
      <xdr:row>57</xdr:row>
      <xdr:rowOff>44824</xdr:rowOff>
    </xdr:to>
    <xdr:sp macro="" textlink="">
      <xdr:nvSpPr>
        <xdr:cNvPr id="1537" name="Flèche vers le bas 153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56</xdr:row>
      <xdr:rowOff>313765</xdr:rowOff>
    </xdr:from>
    <xdr:to>
      <xdr:col>0</xdr:col>
      <xdr:colOff>1165413</xdr:colOff>
      <xdr:row>57</xdr:row>
      <xdr:rowOff>44824</xdr:rowOff>
    </xdr:to>
    <xdr:sp macro="" textlink="">
      <xdr:nvSpPr>
        <xdr:cNvPr id="1538" name="Flèche vers le bas 153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56</xdr:row>
      <xdr:rowOff>313765</xdr:rowOff>
    </xdr:from>
    <xdr:to>
      <xdr:col>0</xdr:col>
      <xdr:colOff>1165413</xdr:colOff>
      <xdr:row>57</xdr:row>
      <xdr:rowOff>44824</xdr:rowOff>
    </xdr:to>
    <xdr:sp macro="" textlink="">
      <xdr:nvSpPr>
        <xdr:cNvPr id="1539" name="Flèche vers le bas 153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56</xdr:row>
      <xdr:rowOff>313765</xdr:rowOff>
    </xdr:from>
    <xdr:to>
      <xdr:col>0</xdr:col>
      <xdr:colOff>1165413</xdr:colOff>
      <xdr:row>57</xdr:row>
      <xdr:rowOff>44824</xdr:rowOff>
    </xdr:to>
    <xdr:sp macro="" textlink="">
      <xdr:nvSpPr>
        <xdr:cNvPr id="1540" name="Flèche vers le bas 153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57</xdr:row>
      <xdr:rowOff>313765</xdr:rowOff>
    </xdr:from>
    <xdr:to>
      <xdr:col>0</xdr:col>
      <xdr:colOff>1165413</xdr:colOff>
      <xdr:row>58</xdr:row>
      <xdr:rowOff>44824</xdr:rowOff>
    </xdr:to>
    <xdr:sp macro="" textlink="">
      <xdr:nvSpPr>
        <xdr:cNvPr id="1541" name="Flèche vers le bas 154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56</xdr:row>
      <xdr:rowOff>313765</xdr:rowOff>
    </xdr:from>
    <xdr:to>
      <xdr:col>0</xdr:col>
      <xdr:colOff>1165413</xdr:colOff>
      <xdr:row>57</xdr:row>
      <xdr:rowOff>44824</xdr:rowOff>
    </xdr:to>
    <xdr:sp macro="" textlink="">
      <xdr:nvSpPr>
        <xdr:cNvPr id="1542" name="Flèche vers le bas 154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57</xdr:row>
      <xdr:rowOff>313765</xdr:rowOff>
    </xdr:from>
    <xdr:to>
      <xdr:col>0</xdr:col>
      <xdr:colOff>1165413</xdr:colOff>
      <xdr:row>58</xdr:row>
      <xdr:rowOff>44824</xdr:rowOff>
    </xdr:to>
    <xdr:sp macro="" textlink="">
      <xdr:nvSpPr>
        <xdr:cNvPr id="1543" name="Flèche vers le bas 154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57</xdr:row>
      <xdr:rowOff>313765</xdr:rowOff>
    </xdr:from>
    <xdr:to>
      <xdr:col>0</xdr:col>
      <xdr:colOff>1165413</xdr:colOff>
      <xdr:row>58</xdr:row>
      <xdr:rowOff>44824</xdr:rowOff>
    </xdr:to>
    <xdr:sp macro="" textlink="">
      <xdr:nvSpPr>
        <xdr:cNvPr id="1544" name="Flèche vers le bas 154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56</xdr:row>
      <xdr:rowOff>313765</xdr:rowOff>
    </xdr:from>
    <xdr:to>
      <xdr:col>0</xdr:col>
      <xdr:colOff>1165413</xdr:colOff>
      <xdr:row>57</xdr:row>
      <xdr:rowOff>44824</xdr:rowOff>
    </xdr:to>
    <xdr:sp macro="" textlink="">
      <xdr:nvSpPr>
        <xdr:cNvPr id="1545" name="Flèche vers le bas 1544"/>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57</xdr:row>
      <xdr:rowOff>313765</xdr:rowOff>
    </xdr:from>
    <xdr:to>
      <xdr:col>0</xdr:col>
      <xdr:colOff>1165413</xdr:colOff>
      <xdr:row>58</xdr:row>
      <xdr:rowOff>44824</xdr:rowOff>
    </xdr:to>
    <xdr:sp macro="" textlink="">
      <xdr:nvSpPr>
        <xdr:cNvPr id="1546" name="Flèche vers le bas 154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57</xdr:row>
      <xdr:rowOff>313765</xdr:rowOff>
    </xdr:from>
    <xdr:to>
      <xdr:col>0</xdr:col>
      <xdr:colOff>1165413</xdr:colOff>
      <xdr:row>58</xdr:row>
      <xdr:rowOff>44824</xdr:rowOff>
    </xdr:to>
    <xdr:sp macro="" textlink="">
      <xdr:nvSpPr>
        <xdr:cNvPr id="1547" name="Flèche vers le bas 154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57</xdr:row>
      <xdr:rowOff>313765</xdr:rowOff>
    </xdr:from>
    <xdr:to>
      <xdr:col>0</xdr:col>
      <xdr:colOff>1165413</xdr:colOff>
      <xdr:row>58</xdr:row>
      <xdr:rowOff>44824</xdr:rowOff>
    </xdr:to>
    <xdr:sp macro="" textlink="">
      <xdr:nvSpPr>
        <xdr:cNvPr id="1548" name="Flèche vers le bas 154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57</xdr:row>
      <xdr:rowOff>313765</xdr:rowOff>
    </xdr:from>
    <xdr:to>
      <xdr:col>0</xdr:col>
      <xdr:colOff>1165413</xdr:colOff>
      <xdr:row>58</xdr:row>
      <xdr:rowOff>44824</xdr:rowOff>
    </xdr:to>
    <xdr:sp macro="" textlink="">
      <xdr:nvSpPr>
        <xdr:cNvPr id="1549" name="Flèche vers le bas 154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57</xdr:row>
      <xdr:rowOff>313765</xdr:rowOff>
    </xdr:from>
    <xdr:to>
      <xdr:col>0</xdr:col>
      <xdr:colOff>1165413</xdr:colOff>
      <xdr:row>58</xdr:row>
      <xdr:rowOff>44824</xdr:rowOff>
    </xdr:to>
    <xdr:sp macro="" textlink="">
      <xdr:nvSpPr>
        <xdr:cNvPr id="1550" name="Flèche vers le bas 154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57</xdr:row>
      <xdr:rowOff>313765</xdr:rowOff>
    </xdr:from>
    <xdr:to>
      <xdr:col>0</xdr:col>
      <xdr:colOff>1165413</xdr:colOff>
      <xdr:row>58</xdr:row>
      <xdr:rowOff>44824</xdr:rowOff>
    </xdr:to>
    <xdr:sp macro="" textlink="">
      <xdr:nvSpPr>
        <xdr:cNvPr id="1551" name="Flèche vers le bas 155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57</xdr:row>
      <xdr:rowOff>313765</xdr:rowOff>
    </xdr:from>
    <xdr:to>
      <xdr:col>0</xdr:col>
      <xdr:colOff>1165413</xdr:colOff>
      <xdr:row>58</xdr:row>
      <xdr:rowOff>44824</xdr:rowOff>
    </xdr:to>
    <xdr:sp macro="" textlink="">
      <xdr:nvSpPr>
        <xdr:cNvPr id="1552" name="Flèche vers le bas 155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58</xdr:row>
      <xdr:rowOff>313765</xdr:rowOff>
    </xdr:from>
    <xdr:to>
      <xdr:col>0</xdr:col>
      <xdr:colOff>1165413</xdr:colOff>
      <xdr:row>59</xdr:row>
      <xdr:rowOff>44824</xdr:rowOff>
    </xdr:to>
    <xdr:sp macro="" textlink="">
      <xdr:nvSpPr>
        <xdr:cNvPr id="1553" name="Flèche vers le bas 155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57</xdr:row>
      <xdr:rowOff>313765</xdr:rowOff>
    </xdr:from>
    <xdr:to>
      <xdr:col>0</xdr:col>
      <xdr:colOff>1165413</xdr:colOff>
      <xdr:row>58</xdr:row>
      <xdr:rowOff>44824</xdr:rowOff>
    </xdr:to>
    <xdr:sp macro="" textlink="">
      <xdr:nvSpPr>
        <xdr:cNvPr id="1554" name="Flèche vers le bas 155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58</xdr:row>
      <xdr:rowOff>313765</xdr:rowOff>
    </xdr:from>
    <xdr:to>
      <xdr:col>0</xdr:col>
      <xdr:colOff>1165413</xdr:colOff>
      <xdr:row>59</xdr:row>
      <xdr:rowOff>44824</xdr:rowOff>
    </xdr:to>
    <xdr:sp macro="" textlink="">
      <xdr:nvSpPr>
        <xdr:cNvPr id="1555" name="Flèche vers le bas 155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58</xdr:row>
      <xdr:rowOff>313765</xdr:rowOff>
    </xdr:from>
    <xdr:to>
      <xdr:col>0</xdr:col>
      <xdr:colOff>1165413</xdr:colOff>
      <xdr:row>59</xdr:row>
      <xdr:rowOff>44824</xdr:rowOff>
    </xdr:to>
    <xdr:sp macro="" textlink="">
      <xdr:nvSpPr>
        <xdr:cNvPr id="1556" name="Flèche vers le bas 155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57</xdr:row>
      <xdr:rowOff>313765</xdr:rowOff>
    </xdr:from>
    <xdr:to>
      <xdr:col>0</xdr:col>
      <xdr:colOff>1165413</xdr:colOff>
      <xdr:row>58</xdr:row>
      <xdr:rowOff>44824</xdr:rowOff>
    </xdr:to>
    <xdr:sp macro="" textlink="">
      <xdr:nvSpPr>
        <xdr:cNvPr id="1557" name="Flèche vers le bas 1556"/>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58</xdr:row>
      <xdr:rowOff>313765</xdr:rowOff>
    </xdr:from>
    <xdr:to>
      <xdr:col>0</xdr:col>
      <xdr:colOff>1165413</xdr:colOff>
      <xdr:row>59</xdr:row>
      <xdr:rowOff>44824</xdr:rowOff>
    </xdr:to>
    <xdr:sp macro="" textlink="">
      <xdr:nvSpPr>
        <xdr:cNvPr id="1558" name="Flèche vers le bas 155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58</xdr:row>
      <xdr:rowOff>313765</xdr:rowOff>
    </xdr:from>
    <xdr:to>
      <xdr:col>0</xdr:col>
      <xdr:colOff>1165413</xdr:colOff>
      <xdr:row>59</xdr:row>
      <xdr:rowOff>44824</xdr:rowOff>
    </xdr:to>
    <xdr:sp macro="" textlink="">
      <xdr:nvSpPr>
        <xdr:cNvPr id="1559" name="Flèche vers le bas 155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58</xdr:row>
      <xdr:rowOff>313765</xdr:rowOff>
    </xdr:from>
    <xdr:to>
      <xdr:col>0</xdr:col>
      <xdr:colOff>1165413</xdr:colOff>
      <xdr:row>59</xdr:row>
      <xdr:rowOff>44824</xdr:rowOff>
    </xdr:to>
    <xdr:sp macro="" textlink="">
      <xdr:nvSpPr>
        <xdr:cNvPr id="1560" name="Flèche vers le bas 155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58</xdr:row>
      <xdr:rowOff>313765</xdr:rowOff>
    </xdr:from>
    <xdr:to>
      <xdr:col>0</xdr:col>
      <xdr:colOff>1165413</xdr:colOff>
      <xdr:row>59</xdr:row>
      <xdr:rowOff>44824</xdr:rowOff>
    </xdr:to>
    <xdr:sp macro="" textlink="">
      <xdr:nvSpPr>
        <xdr:cNvPr id="1561" name="Flèche vers le bas 156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58</xdr:row>
      <xdr:rowOff>313765</xdr:rowOff>
    </xdr:from>
    <xdr:to>
      <xdr:col>0</xdr:col>
      <xdr:colOff>1165413</xdr:colOff>
      <xdr:row>59</xdr:row>
      <xdr:rowOff>44824</xdr:rowOff>
    </xdr:to>
    <xdr:sp macro="" textlink="">
      <xdr:nvSpPr>
        <xdr:cNvPr id="1562" name="Flèche vers le bas 156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58</xdr:row>
      <xdr:rowOff>313765</xdr:rowOff>
    </xdr:from>
    <xdr:to>
      <xdr:col>0</xdr:col>
      <xdr:colOff>1165413</xdr:colOff>
      <xdr:row>59</xdr:row>
      <xdr:rowOff>44824</xdr:rowOff>
    </xdr:to>
    <xdr:sp macro="" textlink="">
      <xdr:nvSpPr>
        <xdr:cNvPr id="1563" name="Flèche vers le bas 156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58</xdr:row>
      <xdr:rowOff>313765</xdr:rowOff>
    </xdr:from>
    <xdr:to>
      <xdr:col>0</xdr:col>
      <xdr:colOff>1165413</xdr:colOff>
      <xdr:row>59</xdr:row>
      <xdr:rowOff>44824</xdr:rowOff>
    </xdr:to>
    <xdr:sp macro="" textlink="">
      <xdr:nvSpPr>
        <xdr:cNvPr id="1564" name="Flèche vers le bas 156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59</xdr:row>
      <xdr:rowOff>313765</xdr:rowOff>
    </xdr:from>
    <xdr:to>
      <xdr:col>0</xdr:col>
      <xdr:colOff>1165413</xdr:colOff>
      <xdr:row>60</xdr:row>
      <xdr:rowOff>44824</xdr:rowOff>
    </xdr:to>
    <xdr:sp macro="" textlink="">
      <xdr:nvSpPr>
        <xdr:cNvPr id="1565" name="Flèche vers le bas 156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58</xdr:row>
      <xdr:rowOff>313765</xdr:rowOff>
    </xdr:from>
    <xdr:to>
      <xdr:col>0</xdr:col>
      <xdr:colOff>1165413</xdr:colOff>
      <xdr:row>59</xdr:row>
      <xdr:rowOff>44824</xdr:rowOff>
    </xdr:to>
    <xdr:sp macro="" textlink="">
      <xdr:nvSpPr>
        <xdr:cNvPr id="1566" name="Flèche vers le bas 156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59</xdr:row>
      <xdr:rowOff>313765</xdr:rowOff>
    </xdr:from>
    <xdr:to>
      <xdr:col>0</xdr:col>
      <xdr:colOff>1165413</xdr:colOff>
      <xdr:row>60</xdr:row>
      <xdr:rowOff>44824</xdr:rowOff>
    </xdr:to>
    <xdr:sp macro="" textlink="">
      <xdr:nvSpPr>
        <xdr:cNvPr id="1567" name="Flèche vers le bas 156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59</xdr:row>
      <xdr:rowOff>313765</xdr:rowOff>
    </xdr:from>
    <xdr:to>
      <xdr:col>0</xdr:col>
      <xdr:colOff>1165413</xdr:colOff>
      <xdr:row>60</xdr:row>
      <xdr:rowOff>44824</xdr:rowOff>
    </xdr:to>
    <xdr:sp macro="" textlink="">
      <xdr:nvSpPr>
        <xdr:cNvPr id="1568" name="Flèche vers le bas 156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58</xdr:row>
      <xdr:rowOff>313765</xdr:rowOff>
    </xdr:from>
    <xdr:to>
      <xdr:col>0</xdr:col>
      <xdr:colOff>1165413</xdr:colOff>
      <xdr:row>59</xdr:row>
      <xdr:rowOff>44824</xdr:rowOff>
    </xdr:to>
    <xdr:sp macro="" textlink="">
      <xdr:nvSpPr>
        <xdr:cNvPr id="1569" name="Flèche vers le bas 1568"/>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59</xdr:row>
      <xdr:rowOff>313765</xdr:rowOff>
    </xdr:from>
    <xdr:to>
      <xdr:col>0</xdr:col>
      <xdr:colOff>1165413</xdr:colOff>
      <xdr:row>60</xdr:row>
      <xdr:rowOff>44824</xdr:rowOff>
    </xdr:to>
    <xdr:sp macro="" textlink="">
      <xdr:nvSpPr>
        <xdr:cNvPr id="1570" name="Flèche vers le bas 156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59</xdr:row>
      <xdr:rowOff>313765</xdr:rowOff>
    </xdr:from>
    <xdr:to>
      <xdr:col>0</xdr:col>
      <xdr:colOff>1165413</xdr:colOff>
      <xdr:row>60</xdr:row>
      <xdr:rowOff>44824</xdr:rowOff>
    </xdr:to>
    <xdr:sp macro="" textlink="">
      <xdr:nvSpPr>
        <xdr:cNvPr id="1571" name="Flèche vers le bas 157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59</xdr:row>
      <xdr:rowOff>313765</xdr:rowOff>
    </xdr:from>
    <xdr:to>
      <xdr:col>0</xdr:col>
      <xdr:colOff>1165413</xdr:colOff>
      <xdr:row>60</xdr:row>
      <xdr:rowOff>44824</xdr:rowOff>
    </xdr:to>
    <xdr:sp macro="" textlink="">
      <xdr:nvSpPr>
        <xdr:cNvPr id="1572" name="Flèche vers le bas 157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59</xdr:row>
      <xdr:rowOff>313765</xdr:rowOff>
    </xdr:from>
    <xdr:to>
      <xdr:col>0</xdr:col>
      <xdr:colOff>1165413</xdr:colOff>
      <xdr:row>60</xdr:row>
      <xdr:rowOff>44824</xdr:rowOff>
    </xdr:to>
    <xdr:sp macro="" textlink="">
      <xdr:nvSpPr>
        <xdr:cNvPr id="1573" name="Flèche vers le bas 157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59</xdr:row>
      <xdr:rowOff>313765</xdr:rowOff>
    </xdr:from>
    <xdr:to>
      <xdr:col>0</xdr:col>
      <xdr:colOff>1165413</xdr:colOff>
      <xdr:row>60</xdr:row>
      <xdr:rowOff>44824</xdr:rowOff>
    </xdr:to>
    <xdr:sp macro="" textlink="">
      <xdr:nvSpPr>
        <xdr:cNvPr id="1574" name="Flèche vers le bas 157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59</xdr:row>
      <xdr:rowOff>313765</xdr:rowOff>
    </xdr:from>
    <xdr:to>
      <xdr:col>0</xdr:col>
      <xdr:colOff>1165413</xdr:colOff>
      <xdr:row>60</xdr:row>
      <xdr:rowOff>44824</xdr:rowOff>
    </xdr:to>
    <xdr:sp macro="" textlink="">
      <xdr:nvSpPr>
        <xdr:cNvPr id="1575" name="Flèche vers le bas 157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59</xdr:row>
      <xdr:rowOff>313765</xdr:rowOff>
    </xdr:from>
    <xdr:to>
      <xdr:col>0</xdr:col>
      <xdr:colOff>1165413</xdr:colOff>
      <xdr:row>60</xdr:row>
      <xdr:rowOff>44824</xdr:rowOff>
    </xdr:to>
    <xdr:sp macro="" textlink="">
      <xdr:nvSpPr>
        <xdr:cNvPr id="1576" name="Flèche vers le bas 157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60</xdr:row>
      <xdr:rowOff>313765</xdr:rowOff>
    </xdr:from>
    <xdr:to>
      <xdr:col>0</xdr:col>
      <xdr:colOff>1165413</xdr:colOff>
      <xdr:row>61</xdr:row>
      <xdr:rowOff>44824</xdr:rowOff>
    </xdr:to>
    <xdr:sp macro="" textlink="">
      <xdr:nvSpPr>
        <xdr:cNvPr id="1577" name="Flèche vers le bas 157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59</xdr:row>
      <xdr:rowOff>313765</xdr:rowOff>
    </xdr:from>
    <xdr:to>
      <xdr:col>0</xdr:col>
      <xdr:colOff>1165413</xdr:colOff>
      <xdr:row>60</xdr:row>
      <xdr:rowOff>44824</xdr:rowOff>
    </xdr:to>
    <xdr:sp macro="" textlink="">
      <xdr:nvSpPr>
        <xdr:cNvPr id="1578" name="Flèche vers le bas 157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60</xdr:row>
      <xdr:rowOff>313765</xdr:rowOff>
    </xdr:from>
    <xdr:to>
      <xdr:col>0</xdr:col>
      <xdr:colOff>1165413</xdr:colOff>
      <xdr:row>61</xdr:row>
      <xdr:rowOff>44824</xdr:rowOff>
    </xdr:to>
    <xdr:sp macro="" textlink="">
      <xdr:nvSpPr>
        <xdr:cNvPr id="1579" name="Flèche vers le bas 157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60</xdr:row>
      <xdr:rowOff>313765</xdr:rowOff>
    </xdr:from>
    <xdr:to>
      <xdr:col>0</xdr:col>
      <xdr:colOff>1165413</xdr:colOff>
      <xdr:row>61</xdr:row>
      <xdr:rowOff>44824</xdr:rowOff>
    </xdr:to>
    <xdr:sp macro="" textlink="">
      <xdr:nvSpPr>
        <xdr:cNvPr id="1580" name="Flèche vers le bas 157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59</xdr:row>
      <xdr:rowOff>313765</xdr:rowOff>
    </xdr:from>
    <xdr:to>
      <xdr:col>0</xdr:col>
      <xdr:colOff>1165413</xdr:colOff>
      <xdr:row>60</xdr:row>
      <xdr:rowOff>44824</xdr:rowOff>
    </xdr:to>
    <xdr:sp macro="" textlink="">
      <xdr:nvSpPr>
        <xdr:cNvPr id="1581" name="Flèche vers le bas 1580"/>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60</xdr:row>
      <xdr:rowOff>313765</xdr:rowOff>
    </xdr:from>
    <xdr:to>
      <xdr:col>0</xdr:col>
      <xdr:colOff>1165413</xdr:colOff>
      <xdr:row>61</xdr:row>
      <xdr:rowOff>44824</xdr:rowOff>
    </xdr:to>
    <xdr:sp macro="" textlink="">
      <xdr:nvSpPr>
        <xdr:cNvPr id="1582" name="Flèche vers le bas 158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60</xdr:row>
      <xdr:rowOff>313765</xdr:rowOff>
    </xdr:from>
    <xdr:to>
      <xdr:col>0</xdr:col>
      <xdr:colOff>1165413</xdr:colOff>
      <xdr:row>61</xdr:row>
      <xdr:rowOff>44824</xdr:rowOff>
    </xdr:to>
    <xdr:sp macro="" textlink="">
      <xdr:nvSpPr>
        <xdr:cNvPr id="1583" name="Flèche vers le bas 158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60</xdr:row>
      <xdr:rowOff>313765</xdr:rowOff>
    </xdr:from>
    <xdr:to>
      <xdr:col>0</xdr:col>
      <xdr:colOff>1165413</xdr:colOff>
      <xdr:row>61</xdr:row>
      <xdr:rowOff>44824</xdr:rowOff>
    </xdr:to>
    <xdr:sp macro="" textlink="">
      <xdr:nvSpPr>
        <xdr:cNvPr id="1584" name="Flèche vers le bas 158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60</xdr:row>
      <xdr:rowOff>313765</xdr:rowOff>
    </xdr:from>
    <xdr:to>
      <xdr:col>0</xdr:col>
      <xdr:colOff>1165413</xdr:colOff>
      <xdr:row>61</xdr:row>
      <xdr:rowOff>44824</xdr:rowOff>
    </xdr:to>
    <xdr:sp macro="" textlink="">
      <xdr:nvSpPr>
        <xdr:cNvPr id="1585" name="Flèche vers le bas 158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60</xdr:row>
      <xdr:rowOff>313765</xdr:rowOff>
    </xdr:from>
    <xdr:to>
      <xdr:col>0</xdr:col>
      <xdr:colOff>1165413</xdr:colOff>
      <xdr:row>61</xdr:row>
      <xdr:rowOff>44824</xdr:rowOff>
    </xdr:to>
    <xdr:sp macro="" textlink="">
      <xdr:nvSpPr>
        <xdr:cNvPr id="1586" name="Flèche vers le bas 158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60</xdr:row>
      <xdr:rowOff>313765</xdr:rowOff>
    </xdr:from>
    <xdr:to>
      <xdr:col>0</xdr:col>
      <xdr:colOff>1165413</xdr:colOff>
      <xdr:row>61</xdr:row>
      <xdr:rowOff>44824</xdr:rowOff>
    </xdr:to>
    <xdr:sp macro="" textlink="">
      <xdr:nvSpPr>
        <xdr:cNvPr id="1587" name="Flèche vers le bas 158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60</xdr:row>
      <xdr:rowOff>313765</xdr:rowOff>
    </xdr:from>
    <xdr:to>
      <xdr:col>0</xdr:col>
      <xdr:colOff>1165413</xdr:colOff>
      <xdr:row>61</xdr:row>
      <xdr:rowOff>44824</xdr:rowOff>
    </xdr:to>
    <xdr:sp macro="" textlink="">
      <xdr:nvSpPr>
        <xdr:cNvPr id="1588" name="Flèche vers le bas 158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61</xdr:row>
      <xdr:rowOff>313765</xdr:rowOff>
    </xdr:from>
    <xdr:to>
      <xdr:col>0</xdr:col>
      <xdr:colOff>1165413</xdr:colOff>
      <xdr:row>62</xdr:row>
      <xdr:rowOff>44824</xdr:rowOff>
    </xdr:to>
    <xdr:sp macro="" textlink="">
      <xdr:nvSpPr>
        <xdr:cNvPr id="1589" name="Flèche vers le bas 158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60</xdr:row>
      <xdr:rowOff>313765</xdr:rowOff>
    </xdr:from>
    <xdr:to>
      <xdr:col>0</xdr:col>
      <xdr:colOff>1165413</xdr:colOff>
      <xdr:row>61</xdr:row>
      <xdr:rowOff>44824</xdr:rowOff>
    </xdr:to>
    <xdr:sp macro="" textlink="">
      <xdr:nvSpPr>
        <xdr:cNvPr id="1590" name="Flèche vers le bas 158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61</xdr:row>
      <xdr:rowOff>313765</xdr:rowOff>
    </xdr:from>
    <xdr:to>
      <xdr:col>0</xdr:col>
      <xdr:colOff>1165413</xdr:colOff>
      <xdr:row>62</xdr:row>
      <xdr:rowOff>44824</xdr:rowOff>
    </xdr:to>
    <xdr:sp macro="" textlink="">
      <xdr:nvSpPr>
        <xdr:cNvPr id="1591" name="Flèche vers le bas 159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61</xdr:row>
      <xdr:rowOff>313765</xdr:rowOff>
    </xdr:from>
    <xdr:to>
      <xdr:col>0</xdr:col>
      <xdr:colOff>1165413</xdr:colOff>
      <xdr:row>62</xdr:row>
      <xdr:rowOff>44824</xdr:rowOff>
    </xdr:to>
    <xdr:sp macro="" textlink="">
      <xdr:nvSpPr>
        <xdr:cNvPr id="1592" name="Flèche vers le bas 159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60</xdr:row>
      <xdr:rowOff>313765</xdr:rowOff>
    </xdr:from>
    <xdr:to>
      <xdr:col>0</xdr:col>
      <xdr:colOff>1165413</xdr:colOff>
      <xdr:row>61</xdr:row>
      <xdr:rowOff>44824</xdr:rowOff>
    </xdr:to>
    <xdr:sp macro="" textlink="">
      <xdr:nvSpPr>
        <xdr:cNvPr id="1593" name="Flèche vers le bas 1592"/>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61</xdr:row>
      <xdr:rowOff>313765</xdr:rowOff>
    </xdr:from>
    <xdr:to>
      <xdr:col>0</xdr:col>
      <xdr:colOff>1165413</xdr:colOff>
      <xdr:row>62</xdr:row>
      <xdr:rowOff>44824</xdr:rowOff>
    </xdr:to>
    <xdr:sp macro="" textlink="">
      <xdr:nvSpPr>
        <xdr:cNvPr id="1594" name="Flèche vers le bas 159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61</xdr:row>
      <xdr:rowOff>313765</xdr:rowOff>
    </xdr:from>
    <xdr:to>
      <xdr:col>0</xdr:col>
      <xdr:colOff>1165413</xdr:colOff>
      <xdr:row>62</xdr:row>
      <xdr:rowOff>44824</xdr:rowOff>
    </xdr:to>
    <xdr:sp macro="" textlink="">
      <xdr:nvSpPr>
        <xdr:cNvPr id="1595" name="Flèche vers le bas 159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61</xdr:row>
      <xdr:rowOff>313765</xdr:rowOff>
    </xdr:from>
    <xdr:to>
      <xdr:col>0</xdr:col>
      <xdr:colOff>1165413</xdr:colOff>
      <xdr:row>62</xdr:row>
      <xdr:rowOff>44824</xdr:rowOff>
    </xdr:to>
    <xdr:sp macro="" textlink="">
      <xdr:nvSpPr>
        <xdr:cNvPr id="1596" name="Flèche vers le bas 159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61</xdr:row>
      <xdr:rowOff>313765</xdr:rowOff>
    </xdr:from>
    <xdr:to>
      <xdr:col>0</xdr:col>
      <xdr:colOff>1165413</xdr:colOff>
      <xdr:row>62</xdr:row>
      <xdr:rowOff>44824</xdr:rowOff>
    </xdr:to>
    <xdr:sp macro="" textlink="">
      <xdr:nvSpPr>
        <xdr:cNvPr id="1597" name="Flèche vers le bas 159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61</xdr:row>
      <xdr:rowOff>313765</xdr:rowOff>
    </xdr:from>
    <xdr:to>
      <xdr:col>0</xdr:col>
      <xdr:colOff>1165413</xdr:colOff>
      <xdr:row>62</xdr:row>
      <xdr:rowOff>44824</xdr:rowOff>
    </xdr:to>
    <xdr:sp macro="" textlink="">
      <xdr:nvSpPr>
        <xdr:cNvPr id="1598" name="Flèche vers le bas 159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61</xdr:row>
      <xdr:rowOff>313765</xdr:rowOff>
    </xdr:from>
    <xdr:to>
      <xdr:col>0</xdr:col>
      <xdr:colOff>1165413</xdr:colOff>
      <xdr:row>62</xdr:row>
      <xdr:rowOff>44824</xdr:rowOff>
    </xdr:to>
    <xdr:sp macro="" textlink="">
      <xdr:nvSpPr>
        <xdr:cNvPr id="1599" name="Flèche vers le bas 159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61</xdr:row>
      <xdr:rowOff>313765</xdr:rowOff>
    </xdr:from>
    <xdr:to>
      <xdr:col>0</xdr:col>
      <xdr:colOff>1165413</xdr:colOff>
      <xdr:row>62</xdr:row>
      <xdr:rowOff>44824</xdr:rowOff>
    </xdr:to>
    <xdr:sp macro="" textlink="">
      <xdr:nvSpPr>
        <xdr:cNvPr id="1600" name="Flèche vers le bas 159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62</xdr:row>
      <xdr:rowOff>313765</xdr:rowOff>
    </xdr:from>
    <xdr:to>
      <xdr:col>0</xdr:col>
      <xdr:colOff>1165413</xdr:colOff>
      <xdr:row>63</xdr:row>
      <xdr:rowOff>44824</xdr:rowOff>
    </xdr:to>
    <xdr:sp macro="" textlink="">
      <xdr:nvSpPr>
        <xdr:cNvPr id="1601" name="Flèche vers le bas 160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61</xdr:row>
      <xdr:rowOff>313765</xdr:rowOff>
    </xdr:from>
    <xdr:to>
      <xdr:col>0</xdr:col>
      <xdr:colOff>1165413</xdr:colOff>
      <xdr:row>62</xdr:row>
      <xdr:rowOff>44824</xdr:rowOff>
    </xdr:to>
    <xdr:sp macro="" textlink="">
      <xdr:nvSpPr>
        <xdr:cNvPr id="1602" name="Flèche vers le bas 160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62</xdr:row>
      <xdr:rowOff>313765</xdr:rowOff>
    </xdr:from>
    <xdr:to>
      <xdr:col>0</xdr:col>
      <xdr:colOff>1165413</xdr:colOff>
      <xdr:row>63</xdr:row>
      <xdr:rowOff>44824</xdr:rowOff>
    </xdr:to>
    <xdr:sp macro="" textlink="">
      <xdr:nvSpPr>
        <xdr:cNvPr id="1603" name="Flèche vers le bas 160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62</xdr:row>
      <xdr:rowOff>313765</xdr:rowOff>
    </xdr:from>
    <xdr:to>
      <xdr:col>0</xdr:col>
      <xdr:colOff>1165413</xdr:colOff>
      <xdr:row>63</xdr:row>
      <xdr:rowOff>44824</xdr:rowOff>
    </xdr:to>
    <xdr:sp macro="" textlink="">
      <xdr:nvSpPr>
        <xdr:cNvPr id="1604" name="Flèche vers le bas 160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61</xdr:row>
      <xdr:rowOff>313765</xdr:rowOff>
    </xdr:from>
    <xdr:to>
      <xdr:col>0</xdr:col>
      <xdr:colOff>1165413</xdr:colOff>
      <xdr:row>62</xdr:row>
      <xdr:rowOff>44824</xdr:rowOff>
    </xdr:to>
    <xdr:sp macro="" textlink="">
      <xdr:nvSpPr>
        <xdr:cNvPr id="1605" name="Flèche vers le bas 1604"/>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62</xdr:row>
      <xdr:rowOff>313765</xdr:rowOff>
    </xdr:from>
    <xdr:to>
      <xdr:col>0</xdr:col>
      <xdr:colOff>1165413</xdr:colOff>
      <xdr:row>63</xdr:row>
      <xdr:rowOff>44824</xdr:rowOff>
    </xdr:to>
    <xdr:sp macro="" textlink="">
      <xdr:nvSpPr>
        <xdr:cNvPr id="1606" name="Flèche vers le bas 160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62</xdr:row>
      <xdr:rowOff>313765</xdr:rowOff>
    </xdr:from>
    <xdr:to>
      <xdr:col>0</xdr:col>
      <xdr:colOff>1165413</xdr:colOff>
      <xdr:row>63</xdr:row>
      <xdr:rowOff>44824</xdr:rowOff>
    </xdr:to>
    <xdr:sp macro="" textlink="">
      <xdr:nvSpPr>
        <xdr:cNvPr id="1607" name="Flèche vers le bas 160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62</xdr:row>
      <xdr:rowOff>313765</xdr:rowOff>
    </xdr:from>
    <xdr:to>
      <xdr:col>0</xdr:col>
      <xdr:colOff>1165413</xdr:colOff>
      <xdr:row>63</xdr:row>
      <xdr:rowOff>44824</xdr:rowOff>
    </xdr:to>
    <xdr:sp macro="" textlink="">
      <xdr:nvSpPr>
        <xdr:cNvPr id="1608" name="Flèche vers le bas 160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62</xdr:row>
      <xdr:rowOff>313765</xdr:rowOff>
    </xdr:from>
    <xdr:to>
      <xdr:col>0</xdr:col>
      <xdr:colOff>1165413</xdr:colOff>
      <xdr:row>63</xdr:row>
      <xdr:rowOff>44824</xdr:rowOff>
    </xdr:to>
    <xdr:sp macro="" textlink="">
      <xdr:nvSpPr>
        <xdr:cNvPr id="1609" name="Flèche vers le bas 160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62</xdr:row>
      <xdr:rowOff>313765</xdr:rowOff>
    </xdr:from>
    <xdr:to>
      <xdr:col>0</xdr:col>
      <xdr:colOff>1165413</xdr:colOff>
      <xdr:row>63</xdr:row>
      <xdr:rowOff>44824</xdr:rowOff>
    </xdr:to>
    <xdr:sp macro="" textlink="">
      <xdr:nvSpPr>
        <xdr:cNvPr id="1610" name="Flèche vers le bas 160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62</xdr:row>
      <xdr:rowOff>313765</xdr:rowOff>
    </xdr:from>
    <xdr:to>
      <xdr:col>0</xdr:col>
      <xdr:colOff>1165413</xdr:colOff>
      <xdr:row>63</xdr:row>
      <xdr:rowOff>44824</xdr:rowOff>
    </xdr:to>
    <xdr:sp macro="" textlink="">
      <xdr:nvSpPr>
        <xdr:cNvPr id="1611" name="Flèche vers le bas 161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62</xdr:row>
      <xdr:rowOff>313765</xdr:rowOff>
    </xdr:from>
    <xdr:to>
      <xdr:col>0</xdr:col>
      <xdr:colOff>1165413</xdr:colOff>
      <xdr:row>63</xdr:row>
      <xdr:rowOff>44824</xdr:rowOff>
    </xdr:to>
    <xdr:sp macro="" textlink="">
      <xdr:nvSpPr>
        <xdr:cNvPr id="1612" name="Flèche vers le bas 161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63</xdr:row>
      <xdr:rowOff>313765</xdr:rowOff>
    </xdr:from>
    <xdr:to>
      <xdr:col>0</xdr:col>
      <xdr:colOff>1165413</xdr:colOff>
      <xdr:row>64</xdr:row>
      <xdr:rowOff>44824</xdr:rowOff>
    </xdr:to>
    <xdr:sp macro="" textlink="">
      <xdr:nvSpPr>
        <xdr:cNvPr id="1613" name="Flèche vers le bas 161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62</xdr:row>
      <xdr:rowOff>313765</xdr:rowOff>
    </xdr:from>
    <xdr:to>
      <xdr:col>0</xdr:col>
      <xdr:colOff>1165413</xdr:colOff>
      <xdr:row>63</xdr:row>
      <xdr:rowOff>44824</xdr:rowOff>
    </xdr:to>
    <xdr:sp macro="" textlink="">
      <xdr:nvSpPr>
        <xdr:cNvPr id="1614" name="Flèche vers le bas 161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63</xdr:row>
      <xdr:rowOff>313765</xdr:rowOff>
    </xdr:from>
    <xdr:to>
      <xdr:col>0</xdr:col>
      <xdr:colOff>1165413</xdr:colOff>
      <xdr:row>64</xdr:row>
      <xdr:rowOff>44824</xdr:rowOff>
    </xdr:to>
    <xdr:sp macro="" textlink="">
      <xdr:nvSpPr>
        <xdr:cNvPr id="1615" name="Flèche vers le bas 161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63</xdr:row>
      <xdr:rowOff>313765</xdr:rowOff>
    </xdr:from>
    <xdr:to>
      <xdr:col>0</xdr:col>
      <xdr:colOff>1165413</xdr:colOff>
      <xdr:row>64</xdr:row>
      <xdr:rowOff>44824</xdr:rowOff>
    </xdr:to>
    <xdr:sp macro="" textlink="">
      <xdr:nvSpPr>
        <xdr:cNvPr id="1616" name="Flèche vers le bas 161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62</xdr:row>
      <xdr:rowOff>313765</xdr:rowOff>
    </xdr:from>
    <xdr:to>
      <xdr:col>0</xdr:col>
      <xdr:colOff>1165413</xdr:colOff>
      <xdr:row>63</xdr:row>
      <xdr:rowOff>44824</xdr:rowOff>
    </xdr:to>
    <xdr:sp macro="" textlink="">
      <xdr:nvSpPr>
        <xdr:cNvPr id="1617" name="Flèche vers le bas 1616"/>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63</xdr:row>
      <xdr:rowOff>313765</xdr:rowOff>
    </xdr:from>
    <xdr:to>
      <xdr:col>0</xdr:col>
      <xdr:colOff>1165413</xdr:colOff>
      <xdr:row>64</xdr:row>
      <xdr:rowOff>44824</xdr:rowOff>
    </xdr:to>
    <xdr:sp macro="" textlink="">
      <xdr:nvSpPr>
        <xdr:cNvPr id="1618" name="Flèche vers le bas 161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63</xdr:row>
      <xdr:rowOff>313765</xdr:rowOff>
    </xdr:from>
    <xdr:to>
      <xdr:col>0</xdr:col>
      <xdr:colOff>1165413</xdr:colOff>
      <xdr:row>64</xdr:row>
      <xdr:rowOff>44824</xdr:rowOff>
    </xdr:to>
    <xdr:sp macro="" textlink="">
      <xdr:nvSpPr>
        <xdr:cNvPr id="1619" name="Flèche vers le bas 161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63</xdr:row>
      <xdr:rowOff>313765</xdr:rowOff>
    </xdr:from>
    <xdr:to>
      <xdr:col>0</xdr:col>
      <xdr:colOff>1165413</xdr:colOff>
      <xdr:row>64</xdr:row>
      <xdr:rowOff>44824</xdr:rowOff>
    </xdr:to>
    <xdr:sp macro="" textlink="">
      <xdr:nvSpPr>
        <xdr:cNvPr id="1620" name="Flèche vers le bas 161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63</xdr:row>
      <xdr:rowOff>313765</xdr:rowOff>
    </xdr:from>
    <xdr:to>
      <xdr:col>0</xdr:col>
      <xdr:colOff>1165413</xdr:colOff>
      <xdr:row>64</xdr:row>
      <xdr:rowOff>44824</xdr:rowOff>
    </xdr:to>
    <xdr:sp macro="" textlink="">
      <xdr:nvSpPr>
        <xdr:cNvPr id="1621" name="Flèche vers le bas 162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63</xdr:row>
      <xdr:rowOff>313765</xdr:rowOff>
    </xdr:from>
    <xdr:to>
      <xdr:col>0</xdr:col>
      <xdr:colOff>1165413</xdr:colOff>
      <xdr:row>64</xdr:row>
      <xdr:rowOff>44824</xdr:rowOff>
    </xdr:to>
    <xdr:sp macro="" textlink="">
      <xdr:nvSpPr>
        <xdr:cNvPr id="1622" name="Flèche vers le bas 162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63</xdr:row>
      <xdr:rowOff>313765</xdr:rowOff>
    </xdr:from>
    <xdr:to>
      <xdr:col>0</xdr:col>
      <xdr:colOff>1165413</xdr:colOff>
      <xdr:row>64</xdr:row>
      <xdr:rowOff>44824</xdr:rowOff>
    </xdr:to>
    <xdr:sp macro="" textlink="">
      <xdr:nvSpPr>
        <xdr:cNvPr id="1623" name="Flèche vers le bas 162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63</xdr:row>
      <xdr:rowOff>313765</xdr:rowOff>
    </xdr:from>
    <xdr:to>
      <xdr:col>0</xdr:col>
      <xdr:colOff>1165413</xdr:colOff>
      <xdr:row>64</xdr:row>
      <xdr:rowOff>44824</xdr:rowOff>
    </xdr:to>
    <xdr:sp macro="" textlink="">
      <xdr:nvSpPr>
        <xdr:cNvPr id="1624" name="Flèche vers le bas 162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64</xdr:row>
      <xdr:rowOff>313765</xdr:rowOff>
    </xdr:from>
    <xdr:to>
      <xdr:col>0</xdr:col>
      <xdr:colOff>1165413</xdr:colOff>
      <xdr:row>65</xdr:row>
      <xdr:rowOff>44824</xdr:rowOff>
    </xdr:to>
    <xdr:sp macro="" textlink="">
      <xdr:nvSpPr>
        <xdr:cNvPr id="1625" name="Flèche vers le bas 162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63</xdr:row>
      <xdr:rowOff>313765</xdr:rowOff>
    </xdr:from>
    <xdr:to>
      <xdr:col>0</xdr:col>
      <xdr:colOff>1165413</xdr:colOff>
      <xdr:row>64</xdr:row>
      <xdr:rowOff>44824</xdr:rowOff>
    </xdr:to>
    <xdr:sp macro="" textlink="">
      <xdr:nvSpPr>
        <xdr:cNvPr id="1626" name="Flèche vers le bas 162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64</xdr:row>
      <xdr:rowOff>313765</xdr:rowOff>
    </xdr:from>
    <xdr:to>
      <xdr:col>0</xdr:col>
      <xdr:colOff>1165413</xdr:colOff>
      <xdr:row>65</xdr:row>
      <xdr:rowOff>44824</xdr:rowOff>
    </xdr:to>
    <xdr:sp macro="" textlink="">
      <xdr:nvSpPr>
        <xdr:cNvPr id="1627" name="Flèche vers le bas 162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64</xdr:row>
      <xdr:rowOff>313765</xdr:rowOff>
    </xdr:from>
    <xdr:to>
      <xdr:col>0</xdr:col>
      <xdr:colOff>1165413</xdr:colOff>
      <xdr:row>65</xdr:row>
      <xdr:rowOff>44824</xdr:rowOff>
    </xdr:to>
    <xdr:sp macro="" textlink="">
      <xdr:nvSpPr>
        <xdr:cNvPr id="1628" name="Flèche vers le bas 162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63</xdr:row>
      <xdr:rowOff>313765</xdr:rowOff>
    </xdr:from>
    <xdr:to>
      <xdr:col>0</xdr:col>
      <xdr:colOff>1165413</xdr:colOff>
      <xdr:row>64</xdr:row>
      <xdr:rowOff>44824</xdr:rowOff>
    </xdr:to>
    <xdr:sp macro="" textlink="">
      <xdr:nvSpPr>
        <xdr:cNvPr id="1629" name="Flèche vers le bas 1628"/>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64</xdr:row>
      <xdr:rowOff>313765</xdr:rowOff>
    </xdr:from>
    <xdr:to>
      <xdr:col>0</xdr:col>
      <xdr:colOff>1165413</xdr:colOff>
      <xdr:row>65</xdr:row>
      <xdr:rowOff>44824</xdr:rowOff>
    </xdr:to>
    <xdr:sp macro="" textlink="">
      <xdr:nvSpPr>
        <xdr:cNvPr id="1630" name="Flèche vers le bas 162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64</xdr:row>
      <xdr:rowOff>313765</xdr:rowOff>
    </xdr:from>
    <xdr:to>
      <xdr:col>0</xdr:col>
      <xdr:colOff>1165413</xdr:colOff>
      <xdr:row>65</xdr:row>
      <xdr:rowOff>44824</xdr:rowOff>
    </xdr:to>
    <xdr:sp macro="" textlink="">
      <xdr:nvSpPr>
        <xdr:cNvPr id="1631" name="Flèche vers le bas 163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64</xdr:row>
      <xdr:rowOff>313765</xdr:rowOff>
    </xdr:from>
    <xdr:to>
      <xdr:col>0</xdr:col>
      <xdr:colOff>1165413</xdr:colOff>
      <xdr:row>65</xdr:row>
      <xdr:rowOff>44824</xdr:rowOff>
    </xdr:to>
    <xdr:sp macro="" textlink="">
      <xdr:nvSpPr>
        <xdr:cNvPr id="1632" name="Flèche vers le bas 163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64</xdr:row>
      <xdr:rowOff>313765</xdr:rowOff>
    </xdr:from>
    <xdr:to>
      <xdr:col>0</xdr:col>
      <xdr:colOff>1165413</xdr:colOff>
      <xdr:row>65</xdr:row>
      <xdr:rowOff>44824</xdr:rowOff>
    </xdr:to>
    <xdr:sp macro="" textlink="">
      <xdr:nvSpPr>
        <xdr:cNvPr id="1633" name="Flèche vers le bas 163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64</xdr:row>
      <xdr:rowOff>313765</xdr:rowOff>
    </xdr:from>
    <xdr:to>
      <xdr:col>0</xdr:col>
      <xdr:colOff>1165413</xdr:colOff>
      <xdr:row>65</xdr:row>
      <xdr:rowOff>44824</xdr:rowOff>
    </xdr:to>
    <xdr:sp macro="" textlink="">
      <xdr:nvSpPr>
        <xdr:cNvPr id="1634" name="Flèche vers le bas 163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64</xdr:row>
      <xdr:rowOff>313765</xdr:rowOff>
    </xdr:from>
    <xdr:to>
      <xdr:col>0</xdr:col>
      <xdr:colOff>1165413</xdr:colOff>
      <xdr:row>65</xdr:row>
      <xdr:rowOff>44824</xdr:rowOff>
    </xdr:to>
    <xdr:sp macro="" textlink="">
      <xdr:nvSpPr>
        <xdr:cNvPr id="1635" name="Flèche vers le bas 163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64</xdr:row>
      <xdr:rowOff>313765</xdr:rowOff>
    </xdr:from>
    <xdr:to>
      <xdr:col>0</xdr:col>
      <xdr:colOff>1165413</xdr:colOff>
      <xdr:row>65</xdr:row>
      <xdr:rowOff>44824</xdr:rowOff>
    </xdr:to>
    <xdr:sp macro="" textlink="">
      <xdr:nvSpPr>
        <xdr:cNvPr id="1636" name="Flèche vers le bas 163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65</xdr:row>
      <xdr:rowOff>313765</xdr:rowOff>
    </xdr:from>
    <xdr:to>
      <xdr:col>0</xdr:col>
      <xdr:colOff>1165413</xdr:colOff>
      <xdr:row>66</xdr:row>
      <xdr:rowOff>44824</xdr:rowOff>
    </xdr:to>
    <xdr:sp macro="" textlink="">
      <xdr:nvSpPr>
        <xdr:cNvPr id="1637" name="Flèche vers le bas 163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64</xdr:row>
      <xdr:rowOff>313765</xdr:rowOff>
    </xdr:from>
    <xdr:to>
      <xdr:col>0</xdr:col>
      <xdr:colOff>1165413</xdr:colOff>
      <xdr:row>65</xdr:row>
      <xdr:rowOff>44824</xdr:rowOff>
    </xdr:to>
    <xdr:sp macro="" textlink="">
      <xdr:nvSpPr>
        <xdr:cNvPr id="1638" name="Flèche vers le bas 163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65</xdr:row>
      <xdr:rowOff>313765</xdr:rowOff>
    </xdr:from>
    <xdr:to>
      <xdr:col>0</xdr:col>
      <xdr:colOff>1165413</xdr:colOff>
      <xdr:row>66</xdr:row>
      <xdr:rowOff>44824</xdr:rowOff>
    </xdr:to>
    <xdr:sp macro="" textlink="">
      <xdr:nvSpPr>
        <xdr:cNvPr id="1639" name="Flèche vers le bas 163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65</xdr:row>
      <xdr:rowOff>313765</xdr:rowOff>
    </xdr:from>
    <xdr:to>
      <xdr:col>0</xdr:col>
      <xdr:colOff>1165413</xdr:colOff>
      <xdr:row>66</xdr:row>
      <xdr:rowOff>44824</xdr:rowOff>
    </xdr:to>
    <xdr:sp macro="" textlink="">
      <xdr:nvSpPr>
        <xdr:cNvPr id="1640" name="Flèche vers le bas 163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64</xdr:row>
      <xdr:rowOff>313765</xdr:rowOff>
    </xdr:from>
    <xdr:to>
      <xdr:col>0</xdr:col>
      <xdr:colOff>1165413</xdr:colOff>
      <xdr:row>65</xdr:row>
      <xdr:rowOff>44824</xdr:rowOff>
    </xdr:to>
    <xdr:sp macro="" textlink="">
      <xdr:nvSpPr>
        <xdr:cNvPr id="1641" name="Flèche vers le bas 1640"/>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65</xdr:row>
      <xdr:rowOff>313765</xdr:rowOff>
    </xdr:from>
    <xdr:to>
      <xdr:col>0</xdr:col>
      <xdr:colOff>1165413</xdr:colOff>
      <xdr:row>66</xdr:row>
      <xdr:rowOff>44824</xdr:rowOff>
    </xdr:to>
    <xdr:sp macro="" textlink="">
      <xdr:nvSpPr>
        <xdr:cNvPr id="1642" name="Flèche vers le bas 164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65</xdr:row>
      <xdr:rowOff>313765</xdr:rowOff>
    </xdr:from>
    <xdr:to>
      <xdr:col>0</xdr:col>
      <xdr:colOff>1165413</xdr:colOff>
      <xdr:row>66</xdr:row>
      <xdr:rowOff>44824</xdr:rowOff>
    </xdr:to>
    <xdr:sp macro="" textlink="">
      <xdr:nvSpPr>
        <xdr:cNvPr id="1643" name="Flèche vers le bas 164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65</xdr:row>
      <xdr:rowOff>313765</xdr:rowOff>
    </xdr:from>
    <xdr:to>
      <xdr:col>0</xdr:col>
      <xdr:colOff>1165413</xdr:colOff>
      <xdr:row>66</xdr:row>
      <xdr:rowOff>44824</xdr:rowOff>
    </xdr:to>
    <xdr:sp macro="" textlink="">
      <xdr:nvSpPr>
        <xdr:cNvPr id="1644" name="Flèche vers le bas 164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65</xdr:row>
      <xdr:rowOff>313765</xdr:rowOff>
    </xdr:from>
    <xdr:to>
      <xdr:col>0</xdr:col>
      <xdr:colOff>1165413</xdr:colOff>
      <xdr:row>66</xdr:row>
      <xdr:rowOff>44824</xdr:rowOff>
    </xdr:to>
    <xdr:sp macro="" textlink="">
      <xdr:nvSpPr>
        <xdr:cNvPr id="1645" name="Flèche vers le bas 164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65</xdr:row>
      <xdr:rowOff>313765</xdr:rowOff>
    </xdr:from>
    <xdr:to>
      <xdr:col>0</xdr:col>
      <xdr:colOff>1165413</xdr:colOff>
      <xdr:row>66</xdr:row>
      <xdr:rowOff>44824</xdr:rowOff>
    </xdr:to>
    <xdr:sp macro="" textlink="">
      <xdr:nvSpPr>
        <xdr:cNvPr id="1646" name="Flèche vers le bas 164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65</xdr:row>
      <xdr:rowOff>313765</xdr:rowOff>
    </xdr:from>
    <xdr:to>
      <xdr:col>0</xdr:col>
      <xdr:colOff>1165413</xdr:colOff>
      <xdr:row>66</xdr:row>
      <xdr:rowOff>44824</xdr:rowOff>
    </xdr:to>
    <xdr:sp macro="" textlink="">
      <xdr:nvSpPr>
        <xdr:cNvPr id="1647" name="Flèche vers le bas 164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65</xdr:row>
      <xdr:rowOff>313765</xdr:rowOff>
    </xdr:from>
    <xdr:to>
      <xdr:col>0</xdr:col>
      <xdr:colOff>1165413</xdr:colOff>
      <xdr:row>66</xdr:row>
      <xdr:rowOff>44824</xdr:rowOff>
    </xdr:to>
    <xdr:sp macro="" textlink="">
      <xdr:nvSpPr>
        <xdr:cNvPr id="1648" name="Flèche vers le bas 164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66</xdr:row>
      <xdr:rowOff>313765</xdr:rowOff>
    </xdr:from>
    <xdr:to>
      <xdr:col>0</xdr:col>
      <xdr:colOff>1165413</xdr:colOff>
      <xdr:row>67</xdr:row>
      <xdr:rowOff>44824</xdr:rowOff>
    </xdr:to>
    <xdr:sp macro="" textlink="">
      <xdr:nvSpPr>
        <xdr:cNvPr id="1649" name="Flèche vers le bas 164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65</xdr:row>
      <xdr:rowOff>313765</xdr:rowOff>
    </xdr:from>
    <xdr:to>
      <xdr:col>0</xdr:col>
      <xdr:colOff>1165413</xdr:colOff>
      <xdr:row>66</xdr:row>
      <xdr:rowOff>44824</xdr:rowOff>
    </xdr:to>
    <xdr:sp macro="" textlink="">
      <xdr:nvSpPr>
        <xdr:cNvPr id="1650" name="Flèche vers le bas 164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66</xdr:row>
      <xdr:rowOff>313765</xdr:rowOff>
    </xdr:from>
    <xdr:to>
      <xdr:col>0</xdr:col>
      <xdr:colOff>1165413</xdr:colOff>
      <xdr:row>67</xdr:row>
      <xdr:rowOff>44824</xdr:rowOff>
    </xdr:to>
    <xdr:sp macro="" textlink="">
      <xdr:nvSpPr>
        <xdr:cNvPr id="1651" name="Flèche vers le bas 165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66</xdr:row>
      <xdr:rowOff>313765</xdr:rowOff>
    </xdr:from>
    <xdr:to>
      <xdr:col>0</xdr:col>
      <xdr:colOff>1165413</xdr:colOff>
      <xdr:row>67</xdr:row>
      <xdr:rowOff>44824</xdr:rowOff>
    </xdr:to>
    <xdr:sp macro="" textlink="">
      <xdr:nvSpPr>
        <xdr:cNvPr id="1652" name="Flèche vers le bas 165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65</xdr:row>
      <xdr:rowOff>313765</xdr:rowOff>
    </xdr:from>
    <xdr:to>
      <xdr:col>0</xdr:col>
      <xdr:colOff>1165413</xdr:colOff>
      <xdr:row>66</xdr:row>
      <xdr:rowOff>44824</xdr:rowOff>
    </xdr:to>
    <xdr:sp macro="" textlink="">
      <xdr:nvSpPr>
        <xdr:cNvPr id="1653" name="Flèche vers le bas 1652"/>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66</xdr:row>
      <xdr:rowOff>313765</xdr:rowOff>
    </xdr:from>
    <xdr:to>
      <xdr:col>0</xdr:col>
      <xdr:colOff>1165413</xdr:colOff>
      <xdr:row>67</xdr:row>
      <xdr:rowOff>44824</xdr:rowOff>
    </xdr:to>
    <xdr:sp macro="" textlink="">
      <xdr:nvSpPr>
        <xdr:cNvPr id="1654" name="Flèche vers le bas 165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66</xdr:row>
      <xdr:rowOff>313765</xdr:rowOff>
    </xdr:from>
    <xdr:to>
      <xdr:col>0</xdr:col>
      <xdr:colOff>1165413</xdr:colOff>
      <xdr:row>67</xdr:row>
      <xdr:rowOff>44824</xdr:rowOff>
    </xdr:to>
    <xdr:sp macro="" textlink="">
      <xdr:nvSpPr>
        <xdr:cNvPr id="1655" name="Flèche vers le bas 165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66</xdr:row>
      <xdr:rowOff>313765</xdr:rowOff>
    </xdr:from>
    <xdr:to>
      <xdr:col>0</xdr:col>
      <xdr:colOff>1165413</xdr:colOff>
      <xdr:row>67</xdr:row>
      <xdr:rowOff>44824</xdr:rowOff>
    </xdr:to>
    <xdr:sp macro="" textlink="">
      <xdr:nvSpPr>
        <xdr:cNvPr id="1656" name="Flèche vers le bas 165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66</xdr:row>
      <xdr:rowOff>313765</xdr:rowOff>
    </xdr:from>
    <xdr:to>
      <xdr:col>0</xdr:col>
      <xdr:colOff>1165413</xdr:colOff>
      <xdr:row>67</xdr:row>
      <xdr:rowOff>44824</xdr:rowOff>
    </xdr:to>
    <xdr:sp macro="" textlink="">
      <xdr:nvSpPr>
        <xdr:cNvPr id="1657" name="Flèche vers le bas 165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66</xdr:row>
      <xdr:rowOff>313765</xdr:rowOff>
    </xdr:from>
    <xdr:to>
      <xdr:col>0</xdr:col>
      <xdr:colOff>1165413</xdr:colOff>
      <xdr:row>67</xdr:row>
      <xdr:rowOff>44824</xdr:rowOff>
    </xdr:to>
    <xdr:sp macro="" textlink="">
      <xdr:nvSpPr>
        <xdr:cNvPr id="1658" name="Flèche vers le bas 165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66</xdr:row>
      <xdr:rowOff>313765</xdr:rowOff>
    </xdr:from>
    <xdr:to>
      <xdr:col>0</xdr:col>
      <xdr:colOff>1165413</xdr:colOff>
      <xdr:row>67</xdr:row>
      <xdr:rowOff>44824</xdr:rowOff>
    </xdr:to>
    <xdr:sp macro="" textlink="">
      <xdr:nvSpPr>
        <xdr:cNvPr id="1659" name="Flèche vers le bas 165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66</xdr:row>
      <xdr:rowOff>313765</xdr:rowOff>
    </xdr:from>
    <xdr:to>
      <xdr:col>0</xdr:col>
      <xdr:colOff>1165413</xdr:colOff>
      <xdr:row>67</xdr:row>
      <xdr:rowOff>44824</xdr:rowOff>
    </xdr:to>
    <xdr:sp macro="" textlink="">
      <xdr:nvSpPr>
        <xdr:cNvPr id="1660" name="Flèche vers le bas 165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67</xdr:row>
      <xdr:rowOff>313765</xdr:rowOff>
    </xdr:from>
    <xdr:to>
      <xdr:col>0</xdr:col>
      <xdr:colOff>1165413</xdr:colOff>
      <xdr:row>68</xdr:row>
      <xdr:rowOff>44824</xdr:rowOff>
    </xdr:to>
    <xdr:sp macro="" textlink="">
      <xdr:nvSpPr>
        <xdr:cNvPr id="1661" name="Flèche vers le bas 166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66</xdr:row>
      <xdr:rowOff>313765</xdr:rowOff>
    </xdr:from>
    <xdr:to>
      <xdr:col>0</xdr:col>
      <xdr:colOff>1165413</xdr:colOff>
      <xdr:row>67</xdr:row>
      <xdr:rowOff>44824</xdr:rowOff>
    </xdr:to>
    <xdr:sp macro="" textlink="">
      <xdr:nvSpPr>
        <xdr:cNvPr id="1662" name="Flèche vers le bas 166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67</xdr:row>
      <xdr:rowOff>313765</xdr:rowOff>
    </xdr:from>
    <xdr:to>
      <xdr:col>0</xdr:col>
      <xdr:colOff>1165413</xdr:colOff>
      <xdr:row>68</xdr:row>
      <xdr:rowOff>44824</xdr:rowOff>
    </xdr:to>
    <xdr:sp macro="" textlink="">
      <xdr:nvSpPr>
        <xdr:cNvPr id="1663" name="Flèche vers le bas 166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67</xdr:row>
      <xdr:rowOff>313765</xdr:rowOff>
    </xdr:from>
    <xdr:to>
      <xdr:col>0</xdr:col>
      <xdr:colOff>1165413</xdr:colOff>
      <xdr:row>68</xdr:row>
      <xdr:rowOff>44824</xdr:rowOff>
    </xdr:to>
    <xdr:sp macro="" textlink="">
      <xdr:nvSpPr>
        <xdr:cNvPr id="1664" name="Flèche vers le bas 166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66</xdr:row>
      <xdr:rowOff>313765</xdr:rowOff>
    </xdr:from>
    <xdr:to>
      <xdr:col>0</xdr:col>
      <xdr:colOff>1165413</xdr:colOff>
      <xdr:row>67</xdr:row>
      <xdr:rowOff>44824</xdr:rowOff>
    </xdr:to>
    <xdr:sp macro="" textlink="">
      <xdr:nvSpPr>
        <xdr:cNvPr id="1665" name="Flèche vers le bas 1664"/>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67</xdr:row>
      <xdr:rowOff>313765</xdr:rowOff>
    </xdr:from>
    <xdr:to>
      <xdr:col>0</xdr:col>
      <xdr:colOff>1165413</xdr:colOff>
      <xdr:row>68</xdr:row>
      <xdr:rowOff>44824</xdr:rowOff>
    </xdr:to>
    <xdr:sp macro="" textlink="">
      <xdr:nvSpPr>
        <xdr:cNvPr id="1666" name="Flèche vers le bas 166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67</xdr:row>
      <xdr:rowOff>313765</xdr:rowOff>
    </xdr:from>
    <xdr:to>
      <xdr:col>0</xdr:col>
      <xdr:colOff>1165413</xdr:colOff>
      <xdr:row>68</xdr:row>
      <xdr:rowOff>44824</xdr:rowOff>
    </xdr:to>
    <xdr:sp macro="" textlink="">
      <xdr:nvSpPr>
        <xdr:cNvPr id="1667" name="Flèche vers le bas 166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67</xdr:row>
      <xdr:rowOff>313765</xdr:rowOff>
    </xdr:from>
    <xdr:to>
      <xdr:col>0</xdr:col>
      <xdr:colOff>1165413</xdr:colOff>
      <xdr:row>68</xdr:row>
      <xdr:rowOff>44824</xdr:rowOff>
    </xdr:to>
    <xdr:sp macro="" textlink="">
      <xdr:nvSpPr>
        <xdr:cNvPr id="1668" name="Flèche vers le bas 166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67</xdr:row>
      <xdr:rowOff>313765</xdr:rowOff>
    </xdr:from>
    <xdr:to>
      <xdr:col>0</xdr:col>
      <xdr:colOff>1165413</xdr:colOff>
      <xdr:row>68</xdr:row>
      <xdr:rowOff>44824</xdr:rowOff>
    </xdr:to>
    <xdr:sp macro="" textlink="">
      <xdr:nvSpPr>
        <xdr:cNvPr id="1669" name="Flèche vers le bas 166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67</xdr:row>
      <xdr:rowOff>313765</xdr:rowOff>
    </xdr:from>
    <xdr:to>
      <xdr:col>0</xdr:col>
      <xdr:colOff>1165413</xdr:colOff>
      <xdr:row>68</xdr:row>
      <xdr:rowOff>44824</xdr:rowOff>
    </xdr:to>
    <xdr:sp macro="" textlink="">
      <xdr:nvSpPr>
        <xdr:cNvPr id="1670" name="Flèche vers le bas 166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67</xdr:row>
      <xdr:rowOff>313765</xdr:rowOff>
    </xdr:from>
    <xdr:to>
      <xdr:col>0</xdr:col>
      <xdr:colOff>1165413</xdr:colOff>
      <xdr:row>68</xdr:row>
      <xdr:rowOff>44824</xdr:rowOff>
    </xdr:to>
    <xdr:sp macro="" textlink="">
      <xdr:nvSpPr>
        <xdr:cNvPr id="1671" name="Flèche vers le bas 167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67</xdr:row>
      <xdr:rowOff>313765</xdr:rowOff>
    </xdr:from>
    <xdr:to>
      <xdr:col>0</xdr:col>
      <xdr:colOff>1165413</xdr:colOff>
      <xdr:row>68</xdr:row>
      <xdr:rowOff>44824</xdr:rowOff>
    </xdr:to>
    <xdr:sp macro="" textlink="">
      <xdr:nvSpPr>
        <xdr:cNvPr id="1672" name="Flèche vers le bas 167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68</xdr:row>
      <xdr:rowOff>313765</xdr:rowOff>
    </xdr:from>
    <xdr:to>
      <xdr:col>0</xdr:col>
      <xdr:colOff>1165413</xdr:colOff>
      <xdr:row>69</xdr:row>
      <xdr:rowOff>44824</xdr:rowOff>
    </xdr:to>
    <xdr:sp macro="" textlink="">
      <xdr:nvSpPr>
        <xdr:cNvPr id="1673" name="Flèche vers le bas 167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67</xdr:row>
      <xdr:rowOff>313765</xdr:rowOff>
    </xdr:from>
    <xdr:to>
      <xdr:col>0</xdr:col>
      <xdr:colOff>1165413</xdr:colOff>
      <xdr:row>68</xdr:row>
      <xdr:rowOff>44824</xdr:rowOff>
    </xdr:to>
    <xdr:sp macro="" textlink="">
      <xdr:nvSpPr>
        <xdr:cNvPr id="1674" name="Flèche vers le bas 167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68</xdr:row>
      <xdr:rowOff>313765</xdr:rowOff>
    </xdr:from>
    <xdr:to>
      <xdr:col>0</xdr:col>
      <xdr:colOff>1165413</xdr:colOff>
      <xdr:row>69</xdr:row>
      <xdr:rowOff>44824</xdr:rowOff>
    </xdr:to>
    <xdr:sp macro="" textlink="">
      <xdr:nvSpPr>
        <xdr:cNvPr id="1675" name="Flèche vers le bas 167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68</xdr:row>
      <xdr:rowOff>313765</xdr:rowOff>
    </xdr:from>
    <xdr:to>
      <xdr:col>0</xdr:col>
      <xdr:colOff>1165413</xdr:colOff>
      <xdr:row>69</xdr:row>
      <xdr:rowOff>44824</xdr:rowOff>
    </xdr:to>
    <xdr:sp macro="" textlink="">
      <xdr:nvSpPr>
        <xdr:cNvPr id="1676" name="Flèche vers le bas 167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67</xdr:row>
      <xdr:rowOff>313765</xdr:rowOff>
    </xdr:from>
    <xdr:to>
      <xdr:col>0</xdr:col>
      <xdr:colOff>1165413</xdr:colOff>
      <xdr:row>68</xdr:row>
      <xdr:rowOff>44824</xdr:rowOff>
    </xdr:to>
    <xdr:sp macro="" textlink="">
      <xdr:nvSpPr>
        <xdr:cNvPr id="1677" name="Flèche vers le bas 1676"/>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68</xdr:row>
      <xdr:rowOff>313765</xdr:rowOff>
    </xdr:from>
    <xdr:to>
      <xdr:col>0</xdr:col>
      <xdr:colOff>1165413</xdr:colOff>
      <xdr:row>69</xdr:row>
      <xdr:rowOff>44824</xdr:rowOff>
    </xdr:to>
    <xdr:sp macro="" textlink="">
      <xdr:nvSpPr>
        <xdr:cNvPr id="1678" name="Flèche vers le bas 167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68</xdr:row>
      <xdr:rowOff>313765</xdr:rowOff>
    </xdr:from>
    <xdr:to>
      <xdr:col>0</xdr:col>
      <xdr:colOff>1165413</xdr:colOff>
      <xdr:row>69</xdr:row>
      <xdr:rowOff>44824</xdr:rowOff>
    </xdr:to>
    <xdr:sp macro="" textlink="">
      <xdr:nvSpPr>
        <xdr:cNvPr id="1679" name="Flèche vers le bas 167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68</xdr:row>
      <xdr:rowOff>313765</xdr:rowOff>
    </xdr:from>
    <xdr:to>
      <xdr:col>0</xdr:col>
      <xdr:colOff>1165413</xdr:colOff>
      <xdr:row>69</xdr:row>
      <xdr:rowOff>44824</xdr:rowOff>
    </xdr:to>
    <xdr:sp macro="" textlink="">
      <xdr:nvSpPr>
        <xdr:cNvPr id="1680" name="Flèche vers le bas 167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68</xdr:row>
      <xdr:rowOff>313765</xdr:rowOff>
    </xdr:from>
    <xdr:to>
      <xdr:col>0</xdr:col>
      <xdr:colOff>1165413</xdr:colOff>
      <xdr:row>69</xdr:row>
      <xdr:rowOff>44824</xdr:rowOff>
    </xdr:to>
    <xdr:sp macro="" textlink="">
      <xdr:nvSpPr>
        <xdr:cNvPr id="1681" name="Flèche vers le bas 168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68</xdr:row>
      <xdr:rowOff>313765</xdr:rowOff>
    </xdr:from>
    <xdr:to>
      <xdr:col>0</xdr:col>
      <xdr:colOff>1165413</xdr:colOff>
      <xdr:row>69</xdr:row>
      <xdr:rowOff>44824</xdr:rowOff>
    </xdr:to>
    <xdr:sp macro="" textlink="">
      <xdr:nvSpPr>
        <xdr:cNvPr id="1682" name="Flèche vers le bas 168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68</xdr:row>
      <xdr:rowOff>313765</xdr:rowOff>
    </xdr:from>
    <xdr:to>
      <xdr:col>0</xdr:col>
      <xdr:colOff>1165413</xdr:colOff>
      <xdr:row>69</xdr:row>
      <xdr:rowOff>44824</xdr:rowOff>
    </xdr:to>
    <xdr:sp macro="" textlink="">
      <xdr:nvSpPr>
        <xdr:cNvPr id="1683" name="Flèche vers le bas 168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68</xdr:row>
      <xdr:rowOff>313765</xdr:rowOff>
    </xdr:from>
    <xdr:to>
      <xdr:col>0</xdr:col>
      <xdr:colOff>1165413</xdr:colOff>
      <xdr:row>69</xdr:row>
      <xdr:rowOff>44824</xdr:rowOff>
    </xdr:to>
    <xdr:sp macro="" textlink="">
      <xdr:nvSpPr>
        <xdr:cNvPr id="1684" name="Flèche vers le bas 168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69</xdr:row>
      <xdr:rowOff>313765</xdr:rowOff>
    </xdr:from>
    <xdr:to>
      <xdr:col>0</xdr:col>
      <xdr:colOff>1165413</xdr:colOff>
      <xdr:row>70</xdr:row>
      <xdr:rowOff>44824</xdr:rowOff>
    </xdr:to>
    <xdr:sp macro="" textlink="">
      <xdr:nvSpPr>
        <xdr:cNvPr id="1685" name="Flèche vers le bas 168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68</xdr:row>
      <xdr:rowOff>313765</xdr:rowOff>
    </xdr:from>
    <xdr:to>
      <xdr:col>0</xdr:col>
      <xdr:colOff>1165413</xdr:colOff>
      <xdr:row>69</xdr:row>
      <xdr:rowOff>44824</xdr:rowOff>
    </xdr:to>
    <xdr:sp macro="" textlink="">
      <xdr:nvSpPr>
        <xdr:cNvPr id="1686" name="Flèche vers le bas 168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69</xdr:row>
      <xdr:rowOff>313765</xdr:rowOff>
    </xdr:from>
    <xdr:to>
      <xdr:col>0</xdr:col>
      <xdr:colOff>1165413</xdr:colOff>
      <xdr:row>70</xdr:row>
      <xdr:rowOff>44824</xdr:rowOff>
    </xdr:to>
    <xdr:sp macro="" textlink="">
      <xdr:nvSpPr>
        <xdr:cNvPr id="1687" name="Flèche vers le bas 168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69</xdr:row>
      <xdr:rowOff>313765</xdr:rowOff>
    </xdr:from>
    <xdr:to>
      <xdr:col>0</xdr:col>
      <xdr:colOff>1165413</xdr:colOff>
      <xdr:row>70</xdr:row>
      <xdr:rowOff>44824</xdr:rowOff>
    </xdr:to>
    <xdr:sp macro="" textlink="">
      <xdr:nvSpPr>
        <xdr:cNvPr id="1688" name="Flèche vers le bas 168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68</xdr:row>
      <xdr:rowOff>313765</xdr:rowOff>
    </xdr:from>
    <xdr:to>
      <xdr:col>0</xdr:col>
      <xdr:colOff>1165413</xdr:colOff>
      <xdr:row>69</xdr:row>
      <xdr:rowOff>44824</xdr:rowOff>
    </xdr:to>
    <xdr:sp macro="" textlink="">
      <xdr:nvSpPr>
        <xdr:cNvPr id="1689" name="Flèche vers le bas 1688"/>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69</xdr:row>
      <xdr:rowOff>313765</xdr:rowOff>
    </xdr:from>
    <xdr:to>
      <xdr:col>0</xdr:col>
      <xdr:colOff>1165413</xdr:colOff>
      <xdr:row>70</xdr:row>
      <xdr:rowOff>44824</xdr:rowOff>
    </xdr:to>
    <xdr:sp macro="" textlink="">
      <xdr:nvSpPr>
        <xdr:cNvPr id="1690" name="Flèche vers le bas 168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69</xdr:row>
      <xdr:rowOff>313765</xdr:rowOff>
    </xdr:from>
    <xdr:to>
      <xdr:col>0</xdr:col>
      <xdr:colOff>1165413</xdr:colOff>
      <xdr:row>70</xdr:row>
      <xdr:rowOff>44824</xdr:rowOff>
    </xdr:to>
    <xdr:sp macro="" textlink="">
      <xdr:nvSpPr>
        <xdr:cNvPr id="1691" name="Flèche vers le bas 169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69</xdr:row>
      <xdr:rowOff>313765</xdr:rowOff>
    </xdr:from>
    <xdr:to>
      <xdr:col>0</xdr:col>
      <xdr:colOff>1165413</xdr:colOff>
      <xdr:row>70</xdr:row>
      <xdr:rowOff>44824</xdr:rowOff>
    </xdr:to>
    <xdr:sp macro="" textlink="">
      <xdr:nvSpPr>
        <xdr:cNvPr id="1692" name="Flèche vers le bas 169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69</xdr:row>
      <xdr:rowOff>313765</xdr:rowOff>
    </xdr:from>
    <xdr:to>
      <xdr:col>0</xdr:col>
      <xdr:colOff>1165413</xdr:colOff>
      <xdr:row>70</xdr:row>
      <xdr:rowOff>44824</xdr:rowOff>
    </xdr:to>
    <xdr:sp macro="" textlink="">
      <xdr:nvSpPr>
        <xdr:cNvPr id="1693" name="Flèche vers le bas 169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69</xdr:row>
      <xdr:rowOff>313765</xdr:rowOff>
    </xdr:from>
    <xdr:to>
      <xdr:col>0</xdr:col>
      <xdr:colOff>1165413</xdr:colOff>
      <xdr:row>70</xdr:row>
      <xdr:rowOff>44824</xdr:rowOff>
    </xdr:to>
    <xdr:sp macro="" textlink="">
      <xdr:nvSpPr>
        <xdr:cNvPr id="1694" name="Flèche vers le bas 169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69</xdr:row>
      <xdr:rowOff>313765</xdr:rowOff>
    </xdr:from>
    <xdr:to>
      <xdr:col>0</xdr:col>
      <xdr:colOff>1165413</xdr:colOff>
      <xdr:row>70</xdr:row>
      <xdr:rowOff>44824</xdr:rowOff>
    </xdr:to>
    <xdr:sp macro="" textlink="">
      <xdr:nvSpPr>
        <xdr:cNvPr id="1695" name="Flèche vers le bas 169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69</xdr:row>
      <xdr:rowOff>313765</xdr:rowOff>
    </xdr:from>
    <xdr:to>
      <xdr:col>0</xdr:col>
      <xdr:colOff>1165413</xdr:colOff>
      <xdr:row>70</xdr:row>
      <xdr:rowOff>44824</xdr:rowOff>
    </xdr:to>
    <xdr:sp macro="" textlink="">
      <xdr:nvSpPr>
        <xdr:cNvPr id="1696" name="Flèche vers le bas 169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70</xdr:row>
      <xdr:rowOff>313765</xdr:rowOff>
    </xdr:from>
    <xdr:to>
      <xdr:col>0</xdr:col>
      <xdr:colOff>1165413</xdr:colOff>
      <xdr:row>71</xdr:row>
      <xdr:rowOff>44824</xdr:rowOff>
    </xdr:to>
    <xdr:sp macro="" textlink="">
      <xdr:nvSpPr>
        <xdr:cNvPr id="1697" name="Flèche vers le bas 169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69</xdr:row>
      <xdr:rowOff>313765</xdr:rowOff>
    </xdr:from>
    <xdr:to>
      <xdr:col>0</xdr:col>
      <xdr:colOff>1165413</xdr:colOff>
      <xdr:row>70</xdr:row>
      <xdr:rowOff>44824</xdr:rowOff>
    </xdr:to>
    <xdr:sp macro="" textlink="">
      <xdr:nvSpPr>
        <xdr:cNvPr id="1698" name="Flèche vers le bas 169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70</xdr:row>
      <xdr:rowOff>313765</xdr:rowOff>
    </xdr:from>
    <xdr:to>
      <xdr:col>0</xdr:col>
      <xdr:colOff>1165413</xdr:colOff>
      <xdr:row>71</xdr:row>
      <xdr:rowOff>44824</xdr:rowOff>
    </xdr:to>
    <xdr:sp macro="" textlink="">
      <xdr:nvSpPr>
        <xdr:cNvPr id="1699" name="Flèche vers le bas 169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70</xdr:row>
      <xdr:rowOff>313765</xdr:rowOff>
    </xdr:from>
    <xdr:to>
      <xdr:col>0</xdr:col>
      <xdr:colOff>1165413</xdr:colOff>
      <xdr:row>71</xdr:row>
      <xdr:rowOff>44824</xdr:rowOff>
    </xdr:to>
    <xdr:sp macro="" textlink="">
      <xdr:nvSpPr>
        <xdr:cNvPr id="1700" name="Flèche vers le bas 169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69</xdr:row>
      <xdr:rowOff>313765</xdr:rowOff>
    </xdr:from>
    <xdr:to>
      <xdr:col>0</xdr:col>
      <xdr:colOff>1165413</xdr:colOff>
      <xdr:row>70</xdr:row>
      <xdr:rowOff>44824</xdr:rowOff>
    </xdr:to>
    <xdr:sp macro="" textlink="">
      <xdr:nvSpPr>
        <xdr:cNvPr id="1701" name="Flèche vers le bas 1700"/>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70</xdr:row>
      <xdr:rowOff>313765</xdr:rowOff>
    </xdr:from>
    <xdr:to>
      <xdr:col>0</xdr:col>
      <xdr:colOff>1165413</xdr:colOff>
      <xdr:row>71</xdr:row>
      <xdr:rowOff>44824</xdr:rowOff>
    </xdr:to>
    <xdr:sp macro="" textlink="">
      <xdr:nvSpPr>
        <xdr:cNvPr id="1702" name="Flèche vers le bas 170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70</xdr:row>
      <xdr:rowOff>313765</xdr:rowOff>
    </xdr:from>
    <xdr:to>
      <xdr:col>0</xdr:col>
      <xdr:colOff>1165413</xdr:colOff>
      <xdr:row>71</xdr:row>
      <xdr:rowOff>44824</xdr:rowOff>
    </xdr:to>
    <xdr:sp macro="" textlink="">
      <xdr:nvSpPr>
        <xdr:cNvPr id="1703" name="Flèche vers le bas 170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70</xdr:row>
      <xdr:rowOff>313765</xdr:rowOff>
    </xdr:from>
    <xdr:to>
      <xdr:col>0</xdr:col>
      <xdr:colOff>1165413</xdr:colOff>
      <xdr:row>71</xdr:row>
      <xdr:rowOff>44824</xdr:rowOff>
    </xdr:to>
    <xdr:sp macro="" textlink="">
      <xdr:nvSpPr>
        <xdr:cNvPr id="1704" name="Flèche vers le bas 170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70</xdr:row>
      <xdr:rowOff>313765</xdr:rowOff>
    </xdr:from>
    <xdr:to>
      <xdr:col>0</xdr:col>
      <xdr:colOff>1165413</xdr:colOff>
      <xdr:row>71</xdr:row>
      <xdr:rowOff>44824</xdr:rowOff>
    </xdr:to>
    <xdr:sp macro="" textlink="">
      <xdr:nvSpPr>
        <xdr:cNvPr id="1705" name="Flèche vers le bas 170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70</xdr:row>
      <xdr:rowOff>313765</xdr:rowOff>
    </xdr:from>
    <xdr:to>
      <xdr:col>0</xdr:col>
      <xdr:colOff>1165413</xdr:colOff>
      <xdr:row>71</xdr:row>
      <xdr:rowOff>44824</xdr:rowOff>
    </xdr:to>
    <xdr:sp macro="" textlink="">
      <xdr:nvSpPr>
        <xdr:cNvPr id="1706" name="Flèche vers le bas 170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70</xdr:row>
      <xdr:rowOff>313765</xdr:rowOff>
    </xdr:from>
    <xdr:to>
      <xdr:col>0</xdr:col>
      <xdr:colOff>1165413</xdr:colOff>
      <xdr:row>71</xdr:row>
      <xdr:rowOff>44824</xdr:rowOff>
    </xdr:to>
    <xdr:sp macro="" textlink="">
      <xdr:nvSpPr>
        <xdr:cNvPr id="1707" name="Flèche vers le bas 170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70</xdr:row>
      <xdr:rowOff>313765</xdr:rowOff>
    </xdr:from>
    <xdr:to>
      <xdr:col>0</xdr:col>
      <xdr:colOff>1165413</xdr:colOff>
      <xdr:row>71</xdr:row>
      <xdr:rowOff>44824</xdr:rowOff>
    </xdr:to>
    <xdr:sp macro="" textlink="">
      <xdr:nvSpPr>
        <xdr:cNvPr id="1708" name="Flèche vers le bas 170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71</xdr:row>
      <xdr:rowOff>313765</xdr:rowOff>
    </xdr:from>
    <xdr:to>
      <xdr:col>0</xdr:col>
      <xdr:colOff>1165413</xdr:colOff>
      <xdr:row>72</xdr:row>
      <xdr:rowOff>44824</xdr:rowOff>
    </xdr:to>
    <xdr:sp macro="" textlink="">
      <xdr:nvSpPr>
        <xdr:cNvPr id="1709" name="Flèche vers le bas 170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70</xdr:row>
      <xdr:rowOff>313765</xdr:rowOff>
    </xdr:from>
    <xdr:to>
      <xdr:col>0</xdr:col>
      <xdr:colOff>1165413</xdr:colOff>
      <xdr:row>71</xdr:row>
      <xdr:rowOff>44824</xdr:rowOff>
    </xdr:to>
    <xdr:sp macro="" textlink="">
      <xdr:nvSpPr>
        <xdr:cNvPr id="1710" name="Flèche vers le bas 170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71</xdr:row>
      <xdr:rowOff>313765</xdr:rowOff>
    </xdr:from>
    <xdr:to>
      <xdr:col>0</xdr:col>
      <xdr:colOff>1165413</xdr:colOff>
      <xdr:row>72</xdr:row>
      <xdr:rowOff>44824</xdr:rowOff>
    </xdr:to>
    <xdr:sp macro="" textlink="">
      <xdr:nvSpPr>
        <xdr:cNvPr id="1711" name="Flèche vers le bas 171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71</xdr:row>
      <xdr:rowOff>313765</xdr:rowOff>
    </xdr:from>
    <xdr:to>
      <xdr:col>0</xdr:col>
      <xdr:colOff>1165413</xdr:colOff>
      <xdr:row>72</xdr:row>
      <xdr:rowOff>44824</xdr:rowOff>
    </xdr:to>
    <xdr:sp macro="" textlink="">
      <xdr:nvSpPr>
        <xdr:cNvPr id="1712" name="Flèche vers le bas 171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70</xdr:row>
      <xdr:rowOff>313765</xdr:rowOff>
    </xdr:from>
    <xdr:to>
      <xdr:col>0</xdr:col>
      <xdr:colOff>1165413</xdr:colOff>
      <xdr:row>71</xdr:row>
      <xdr:rowOff>44824</xdr:rowOff>
    </xdr:to>
    <xdr:sp macro="" textlink="">
      <xdr:nvSpPr>
        <xdr:cNvPr id="1713" name="Flèche vers le bas 1712"/>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71</xdr:row>
      <xdr:rowOff>313765</xdr:rowOff>
    </xdr:from>
    <xdr:to>
      <xdr:col>0</xdr:col>
      <xdr:colOff>1165413</xdr:colOff>
      <xdr:row>72</xdr:row>
      <xdr:rowOff>44824</xdr:rowOff>
    </xdr:to>
    <xdr:sp macro="" textlink="">
      <xdr:nvSpPr>
        <xdr:cNvPr id="1714" name="Flèche vers le bas 171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71</xdr:row>
      <xdr:rowOff>313765</xdr:rowOff>
    </xdr:from>
    <xdr:to>
      <xdr:col>0</xdr:col>
      <xdr:colOff>1165413</xdr:colOff>
      <xdr:row>72</xdr:row>
      <xdr:rowOff>44824</xdr:rowOff>
    </xdr:to>
    <xdr:sp macro="" textlink="">
      <xdr:nvSpPr>
        <xdr:cNvPr id="1715" name="Flèche vers le bas 171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71</xdr:row>
      <xdr:rowOff>313765</xdr:rowOff>
    </xdr:from>
    <xdr:to>
      <xdr:col>0</xdr:col>
      <xdr:colOff>1165413</xdr:colOff>
      <xdr:row>72</xdr:row>
      <xdr:rowOff>44824</xdr:rowOff>
    </xdr:to>
    <xdr:sp macro="" textlink="">
      <xdr:nvSpPr>
        <xdr:cNvPr id="1716" name="Flèche vers le bas 171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71</xdr:row>
      <xdr:rowOff>313765</xdr:rowOff>
    </xdr:from>
    <xdr:to>
      <xdr:col>0</xdr:col>
      <xdr:colOff>1165413</xdr:colOff>
      <xdr:row>72</xdr:row>
      <xdr:rowOff>44824</xdr:rowOff>
    </xdr:to>
    <xdr:sp macro="" textlink="">
      <xdr:nvSpPr>
        <xdr:cNvPr id="1717" name="Flèche vers le bas 171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71</xdr:row>
      <xdr:rowOff>313765</xdr:rowOff>
    </xdr:from>
    <xdr:to>
      <xdr:col>0</xdr:col>
      <xdr:colOff>1165413</xdr:colOff>
      <xdr:row>72</xdr:row>
      <xdr:rowOff>44824</xdr:rowOff>
    </xdr:to>
    <xdr:sp macro="" textlink="">
      <xdr:nvSpPr>
        <xdr:cNvPr id="1718" name="Flèche vers le bas 171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71</xdr:row>
      <xdr:rowOff>313765</xdr:rowOff>
    </xdr:from>
    <xdr:to>
      <xdr:col>0</xdr:col>
      <xdr:colOff>1165413</xdr:colOff>
      <xdr:row>72</xdr:row>
      <xdr:rowOff>44824</xdr:rowOff>
    </xdr:to>
    <xdr:sp macro="" textlink="">
      <xdr:nvSpPr>
        <xdr:cNvPr id="1719" name="Flèche vers le bas 171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71</xdr:row>
      <xdr:rowOff>313765</xdr:rowOff>
    </xdr:from>
    <xdr:to>
      <xdr:col>0</xdr:col>
      <xdr:colOff>1165413</xdr:colOff>
      <xdr:row>72</xdr:row>
      <xdr:rowOff>44824</xdr:rowOff>
    </xdr:to>
    <xdr:sp macro="" textlink="">
      <xdr:nvSpPr>
        <xdr:cNvPr id="1720" name="Flèche vers le bas 171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72</xdr:row>
      <xdr:rowOff>313765</xdr:rowOff>
    </xdr:from>
    <xdr:to>
      <xdr:col>0</xdr:col>
      <xdr:colOff>1165413</xdr:colOff>
      <xdr:row>73</xdr:row>
      <xdr:rowOff>44824</xdr:rowOff>
    </xdr:to>
    <xdr:sp macro="" textlink="">
      <xdr:nvSpPr>
        <xdr:cNvPr id="1721" name="Flèche vers le bas 172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71</xdr:row>
      <xdr:rowOff>313765</xdr:rowOff>
    </xdr:from>
    <xdr:to>
      <xdr:col>0</xdr:col>
      <xdr:colOff>1165413</xdr:colOff>
      <xdr:row>72</xdr:row>
      <xdr:rowOff>44824</xdr:rowOff>
    </xdr:to>
    <xdr:sp macro="" textlink="">
      <xdr:nvSpPr>
        <xdr:cNvPr id="1722" name="Flèche vers le bas 172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72</xdr:row>
      <xdr:rowOff>313765</xdr:rowOff>
    </xdr:from>
    <xdr:to>
      <xdr:col>0</xdr:col>
      <xdr:colOff>1165413</xdr:colOff>
      <xdr:row>73</xdr:row>
      <xdr:rowOff>44824</xdr:rowOff>
    </xdr:to>
    <xdr:sp macro="" textlink="">
      <xdr:nvSpPr>
        <xdr:cNvPr id="1723" name="Flèche vers le bas 172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72</xdr:row>
      <xdr:rowOff>313765</xdr:rowOff>
    </xdr:from>
    <xdr:to>
      <xdr:col>0</xdr:col>
      <xdr:colOff>1165413</xdr:colOff>
      <xdr:row>73</xdr:row>
      <xdr:rowOff>44824</xdr:rowOff>
    </xdr:to>
    <xdr:sp macro="" textlink="">
      <xdr:nvSpPr>
        <xdr:cNvPr id="1724" name="Flèche vers le bas 172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71</xdr:row>
      <xdr:rowOff>313765</xdr:rowOff>
    </xdr:from>
    <xdr:to>
      <xdr:col>0</xdr:col>
      <xdr:colOff>1165413</xdr:colOff>
      <xdr:row>72</xdr:row>
      <xdr:rowOff>44824</xdr:rowOff>
    </xdr:to>
    <xdr:sp macro="" textlink="">
      <xdr:nvSpPr>
        <xdr:cNvPr id="1725" name="Flèche vers le bas 1724"/>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72</xdr:row>
      <xdr:rowOff>313765</xdr:rowOff>
    </xdr:from>
    <xdr:to>
      <xdr:col>0</xdr:col>
      <xdr:colOff>1165413</xdr:colOff>
      <xdr:row>73</xdr:row>
      <xdr:rowOff>44824</xdr:rowOff>
    </xdr:to>
    <xdr:sp macro="" textlink="">
      <xdr:nvSpPr>
        <xdr:cNvPr id="1726" name="Flèche vers le bas 172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72</xdr:row>
      <xdr:rowOff>313765</xdr:rowOff>
    </xdr:from>
    <xdr:to>
      <xdr:col>0</xdr:col>
      <xdr:colOff>1165413</xdr:colOff>
      <xdr:row>73</xdr:row>
      <xdr:rowOff>44824</xdr:rowOff>
    </xdr:to>
    <xdr:sp macro="" textlink="">
      <xdr:nvSpPr>
        <xdr:cNvPr id="1727" name="Flèche vers le bas 172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72</xdr:row>
      <xdr:rowOff>313765</xdr:rowOff>
    </xdr:from>
    <xdr:to>
      <xdr:col>0</xdr:col>
      <xdr:colOff>1165413</xdr:colOff>
      <xdr:row>73</xdr:row>
      <xdr:rowOff>44824</xdr:rowOff>
    </xdr:to>
    <xdr:sp macro="" textlink="">
      <xdr:nvSpPr>
        <xdr:cNvPr id="1728" name="Flèche vers le bas 172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72</xdr:row>
      <xdr:rowOff>313765</xdr:rowOff>
    </xdr:from>
    <xdr:to>
      <xdr:col>0</xdr:col>
      <xdr:colOff>1165413</xdr:colOff>
      <xdr:row>73</xdr:row>
      <xdr:rowOff>44824</xdr:rowOff>
    </xdr:to>
    <xdr:sp macro="" textlink="">
      <xdr:nvSpPr>
        <xdr:cNvPr id="1729" name="Flèche vers le bas 172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72</xdr:row>
      <xdr:rowOff>313765</xdr:rowOff>
    </xdr:from>
    <xdr:to>
      <xdr:col>0</xdr:col>
      <xdr:colOff>1165413</xdr:colOff>
      <xdr:row>73</xdr:row>
      <xdr:rowOff>44824</xdr:rowOff>
    </xdr:to>
    <xdr:sp macro="" textlink="">
      <xdr:nvSpPr>
        <xdr:cNvPr id="1730" name="Flèche vers le bas 172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72</xdr:row>
      <xdr:rowOff>313765</xdr:rowOff>
    </xdr:from>
    <xdr:to>
      <xdr:col>0</xdr:col>
      <xdr:colOff>1165413</xdr:colOff>
      <xdr:row>73</xdr:row>
      <xdr:rowOff>44824</xdr:rowOff>
    </xdr:to>
    <xdr:sp macro="" textlink="">
      <xdr:nvSpPr>
        <xdr:cNvPr id="1731" name="Flèche vers le bas 173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72</xdr:row>
      <xdr:rowOff>313765</xdr:rowOff>
    </xdr:from>
    <xdr:to>
      <xdr:col>0</xdr:col>
      <xdr:colOff>1165413</xdr:colOff>
      <xdr:row>73</xdr:row>
      <xdr:rowOff>44824</xdr:rowOff>
    </xdr:to>
    <xdr:sp macro="" textlink="">
      <xdr:nvSpPr>
        <xdr:cNvPr id="1732" name="Flèche vers le bas 173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73</xdr:row>
      <xdr:rowOff>313765</xdr:rowOff>
    </xdr:from>
    <xdr:to>
      <xdr:col>0</xdr:col>
      <xdr:colOff>1165413</xdr:colOff>
      <xdr:row>74</xdr:row>
      <xdr:rowOff>44824</xdr:rowOff>
    </xdr:to>
    <xdr:sp macro="" textlink="">
      <xdr:nvSpPr>
        <xdr:cNvPr id="1733" name="Flèche vers le bas 173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72</xdr:row>
      <xdr:rowOff>313765</xdr:rowOff>
    </xdr:from>
    <xdr:to>
      <xdr:col>0</xdr:col>
      <xdr:colOff>1165413</xdr:colOff>
      <xdr:row>73</xdr:row>
      <xdr:rowOff>44824</xdr:rowOff>
    </xdr:to>
    <xdr:sp macro="" textlink="">
      <xdr:nvSpPr>
        <xdr:cNvPr id="1734" name="Flèche vers le bas 173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73</xdr:row>
      <xdr:rowOff>313765</xdr:rowOff>
    </xdr:from>
    <xdr:to>
      <xdr:col>0</xdr:col>
      <xdr:colOff>1165413</xdr:colOff>
      <xdr:row>74</xdr:row>
      <xdr:rowOff>44824</xdr:rowOff>
    </xdr:to>
    <xdr:sp macro="" textlink="">
      <xdr:nvSpPr>
        <xdr:cNvPr id="1735" name="Flèche vers le bas 173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73</xdr:row>
      <xdr:rowOff>313765</xdr:rowOff>
    </xdr:from>
    <xdr:to>
      <xdr:col>0</xdr:col>
      <xdr:colOff>1165413</xdr:colOff>
      <xdr:row>74</xdr:row>
      <xdr:rowOff>44824</xdr:rowOff>
    </xdr:to>
    <xdr:sp macro="" textlink="">
      <xdr:nvSpPr>
        <xdr:cNvPr id="1736" name="Flèche vers le bas 173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72</xdr:row>
      <xdr:rowOff>313765</xdr:rowOff>
    </xdr:from>
    <xdr:to>
      <xdr:col>0</xdr:col>
      <xdr:colOff>1165413</xdr:colOff>
      <xdr:row>73</xdr:row>
      <xdr:rowOff>44824</xdr:rowOff>
    </xdr:to>
    <xdr:sp macro="" textlink="">
      <xdr:nvSpPr>
        <xdr:cNvPr id="1737" name="Flèche vers le bas 1736"/>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73</xdr:row>
      <xdr:rowOff>313765</xdr:rowOff>
    </xdr:from>
    <xdr:to>
      <xdr:col>0</xdr:col>
      <xdr:colOff>1165413</xdr:colOff>
      <xdr:row>74</xdr:row>
      <xdr:rowOff>44824</xdr:rowOff>
    </xdr:to>
    <xdr:sp macro="" textlink="">
      <xdr:nvSpPr>
        <xdr:cNvPr id="1738" name="Flèche vers le bas 173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73</xdr:row>
      <xdr:rowOff>313765</xdr:rowOff>
    </xdr:from>
    <xdr:to>
      <xdr:col>0</xdr:col>
      <xdr:colOff>1165413</xdr:colOff>
      <xdr:row>74</xdr:row>
      <xdr:rowOff>44824</xdr:rowOff>
    </xdr:to>
    <xdr:sp macro="" textlink="">
      <xdr:nvSpPr>
        <xdr:cNvPr id="1739" name="Flèche vers le bas 173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73</xdr:row>
      <xdr:rowOff>313765</xdr:rowOff>
    </xdr:from>
    <xdr:to>
      <xdr:col>0</xdr:col>
      <xdr:colOff>1165413</xdr:colOff>
      <xdr:row>74</xdr:row>
      <xdr:rowOff>44824</xdr:rowOff>
    </xdr:to>
    <xdr:sp macro="" textlink="">
      <xdr:nvSpPr>
        <xdr:cNvPr id="1740" name="Flèche vers le bas 173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73</xdr:row>
      <xdr:rowOff>313765</xdr:rowOff>
    </xdr:from>
    <xdr:to>
      <xdr:col>0</xdr:col>
      <xdr:colOff>1165413</xdr:colOff>
      <xdr:row>74</xdr:row>
      <xdr:rowOff>44824</xdr:rowOff>
    </xdr:to>
    <xdr:sp macro="" textlink="">
      <xdr:nvSpPr>
        <xdr:cNvPr id="1741" name="Flèche vers le bas 174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73</xdr:row>
      <xdr:rowOff>313765</xdr:rowOff>
    </xdr:from>
    <xdr:to>
      <xdr:col>0</xdr:col>
      <xdr:colOff>1165413</xdr:colOff>
      <xdr:row>74</xdr:row>
      <xdr:rowOff>44824</xdr:rowOff>
    </xdr:to>
    <xdr:sp macro="" textlink="">
      <xdr:nvSpPr>
        <xdr:cNvPr id="1742" name="Flèche vers le bas 174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73</xdr:row>
      <xdr:rowOff>313765</xdr:rowOff>
    </xdr:from>
    <xdr:to>
      <xdr:col>0</xdr:col>
      <xdr:colOff>1165413</xdr:colOff>
      <xdr:row>74</xdr:row>
      <xdr:rowOff>44824</xdr:rowOff>
    </xdr:to>
    <xdr:sp macro="" textlink="">
      <xdr:nvSpPr>
        <xdr:cNvPr id="1743" name="Flèche vers le bas 174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73</xdr:row>
      <xdr:rowOff>313765</xdr:rowOff>
    </xdr:from>
    <xdr:to>
      <xdr:col>0</xdr:col>
      <xdr:colOff>1165413</xdr:colOff>
      <xdr:row>74</xdr:row>
      <xdr:rowOff>44824</xdr:rowOff>
    </xdr:to>
    <xdr:sp macro="" textlink="">
      <xdr:nvSpPr>
        <xdr:cNvPr id="1744" name="Flèche vers le bas 174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74</xdr:row>
      <xdr:rowOff>313765</xdr:rowOff>
    </xdr:from>
    <xdr:to>
      <xdr:col>0</xdr:col>
      <xdr:colOff>1165413</xdr:colOff>
      <xdr:row>75</xdr:row>
      <xdr:rowOff>44824</xdr:rowOff>
    </xdr:to>
    <xdr:sp macro="" textlink="">
      <xdr:nvSpPr>
        <xdr:cNvPr id="1745" name="Flèche vers le bas 174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73</xdr:row>
      <xdr:rowOff>313765</xdr:rowOff>
    </xdr:from>
    <xdr:to>
      <xdr:col>0</xdr:col>
      <xdr:colOff>1165413</xdr:colOff>
      <xdr:row>74</xdr:row>
      <xdr:rowOff>44824</xdr:rowOff>
    </xdr:to>
    <xdr:sp macro="" textlink="">
      <xdr:nvSpPr>
        <xdr:cNvPr id="1746" name="Flèche vers le bas 174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74</xdr:row>
      <xdr:rowOff>313765</xdr:rowOff>
    </xdr:from>
    <xdr:to>
      <xdr:col>0</xdr:col>
      <xdr:colOff>1165413</xdr:colOff>
      <xdr:row>75</xdr:row>
      <xdr:rowOff>44824</xdr:rowOff>
    </xdr:to>
    <xdr:sp macro="" textlink="">
      <xdr:nvSpPr>
        <xdr:cNvPr id="1747" name="Flèche vers le bas 174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74</xdr:row>
      <xdr:rowOff>313765</xdr:rowOff>
    </xdr:from>
    <xdr:to>
      <xdr:col>0</xdr:col>
      <xdr:colOff>1165413</xdr:colOff>
      <xdr:row>75</xdr:row>
      <xdr:rowOff>44824</xdr:rowOff>
    </xdr:to>
    <xdr:sp macro="" textlink="">
      <xdr:nvSpPr>
        <xdr:cNvPr id="1748" name="Flèche vers le bas 174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73</xdr:row>
      <xdr:rowOff>313765</xdr:rowOff>
    </xdr:from>
    <xdr:to>
      <xdr:col>0</xdr:col>
      <xdr:colOff>1165413</xdr:colOff>
      <xdr:row>74</xdr:row>
      <xdr:rowOff>44824</xdr:rowOff>
    </xdr:to>
    <xdr:sp macro="" textlink="">
      <xdr:nvSpPr>
        <xdr:cNvPr id="1749" name="Flèche vers le bas 1748"/>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74</xdr:row>
      <xdr:rowOff>313765</xdr:rowOff>
    </xdr:from>
    <xdr:to>
      <xdr:col>0</xdr:col>
      <xdr:colOff>1165413</xdr:colOff>
      <xdr:row>75</xdr:row>
      <xdr:rowOff>44824</xdr:rowOff>
    </xdr:to>
    <xdr:sp macro="" textlink="">
      <xdr:nvSpPr>
        <xdr:cNvPr id="1750" name="Flèche vers le bas 174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74</xdr:row>
      <xdr:rowOff>313765</xdr:rowOff>
    </xdr:from>
    <xdr:to>
      <xdr:col>0</xdr:col>
      <xdr:colOff>1165413</xdr:colOff>
      <xdr:row>75</xdr:row>
      <xdr:rowOff>44824</xdr:rowOff>
    </xdr:to>
    <xdr:sp macro="" textlink="">
      <xdr:nvSpPr>
        <xdr:cNvPr id="1751" name="Flèche vers le bas 175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74</xdr:row>
      <xdr:rowOff>313765</xdr:rowOff>
    </xdr:from>
    <xdr:to>
      <xdr:col>0</xdr:col>
      <xdr:colOff>1165413</xdr:colOff>
      <xdr:row>75</xdr:row>
      <xdr:rowOff>44824</xdr:rowOff>
    </xdr:to>
    <xdr:sp macro="" textlink="">
      <xdr:nvSpPr>
        <xdr:cNvPr id="1752" name="Flèche vers le bas 175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74</xdr:row>
      <xdr:rowOff>313765</xdr:rowOff>
    </xdr:from>
    <xdr:to>
      <xdr:col>0</xdr:col>
      <xdr:colOff>1165413</xdr:colOff>
      <xdr:row>75</xdr:row>
      <xdr:rowOff>44824</xdr:rowOff>
    </xdr:to>
    <xdr:sp macro="" textlink="">
      <xdr:nvSpPr>
        <xdr:cNvPr id="1753" name="Flèche vers le bas 175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74</xdr:row>
      <xdr:rowOff>313765</xdr:rowOff>
    </xdr:from>
    <xdr:to>
      <xdr:col>0</xdr:col>
      <xdr:colOff>1165413</xdr:colOff>
      <xdr:row>75</xdr:row>
      <xdr:rowOff>44824</xdr:rowOff>
    </xdr:to>
    <xdr:sp macro="" textlink="">
      <xdr:nvSpPr>
        <xdr:cNvPr id="1754" name="Flèche vers le bas 175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74</xdr:row>
      <xdr:rowOff>313765</xdr:rowOff>
    </xdr:from>
    <xdr:to>
      <xdr:col>0</xdr:col>
      <xdr:colOff>1165413</xdr:colOff>
      <xdr:row>75</xdr:row>
      <xdr:rowOff>44824</xdr:rowOff>
    </xdr:to>
    <xdr:sp macro="" textlink="">
      <xdr:nvSpPr>
        <xdr:cNvPr id="1755" name="Flèche vers le bas 175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74</xdr:row>
      <xdr:rowOff>313765</xdr:rowOff>
    </xdr:from>
    <xdr:to>
      <xdr:col>0</xdr:col>
      <xdr:colOff>1165413</xdr:colOff>
      <xdr:row>75</xdr:row>
      <xdr:rowOff>44824</xdr:rowOff>
    </xdr:to>
    <xdr:sp macro="" textlink="">
      <xdr:nvSpPr>
        <xdr:cNvPr id="1756" name="Flèche vers le bas 175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75</xdr:row>
      <xdr:rowOff>313765</xdr:rowOff>
    </xdr:from>
    <xdr:to>
      <xdr:col>0</xdr:col>
      <xdr:colOff>1165413</xdr:colOff>
      <xdr:row>76</xdr:row>
      <xdr:rowOff>44824</xdr:rowOff>
    </xdr:to>
    <xdr:sp macro="" textlink="">
      <xdr:nvSpPr>
        <xdr:cNvPr id="1757" name="Flèche vers le bas 175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74</xdr:row>
      <xdr:rowOff>313765</xdr:rowOff>
    </xdr:from>
    <xdr:to>
      <xdr:col>0</xdr:col>
      <xdr:colOff>1165413</xdr:colOff>
      <xdr:row>75</xdr:row>
      <xdr:rowOff>44824</xdr:rowOff>
    </xdr:to>
    <xdr:sp macro="" textlink="">
      <xdr:nvSpPr>
        <xdr:cNvPr id="1758" name="Flèche vers le bas 175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75</xdr:row>
      <xdr:rowOff>313765</xdr:rowOff>
    </xdr:from>
    <xdr:to>
      <xdr:col>0</xdr:col>
      <xdr:colOff>1165413</xdr:colOff>
      <xdr:row>76</xdr:row>
      <xdr:rowOff>44824</xdr:rowOff>
    </xdr:to>
    <xdr:sp macro="" textlink="">
      <xdr:nvSpPr>
        <xdr:cNvPr id="1759" name="Flèche vers le bas 175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75</xdr:row>
      <xdr:rowOff>313765</xdr:rowOff>
    </xdr:from>
    <xdr:to>
      <xdr:col>0</xdr:col>
      <xdr:colOff>1165413</xdr:colOff>
      <xdr:row>76</xdr:row>
      <xdr:rowOff>44824</xdr:rowOff>
    </xdr:to>
    <xdr:sp macro="" textlink="">
      <xdr:nvSpPr>
        <xdr:cNvPr id="1760" name="Flèche vers le bas 175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74</xdr:row>
      <xdr:rowOff>313765</xdr:rowOff>
    </xdr:from>
    <xdr:to>
      <xdr:col>0</xdr:col>
      <xdr:colOff>1165413</xdr:colOff>
      <xdr:row>75</xdr:row>
      <xdr:rowOff>44824</xdr:rowOff>
    </xdr:to>
    <xdr:sp macro="" textlink="">
      <xdr:nvSpPr>
        <xdr:cNvPr id="1761" name="Flèche vers le bas 1760"/>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75</xdr:row>
      <xdr:rowOff>313765</xdr:rowOff>
    </xdr:from>
    <xdr:to>
      <xdr:col>0</xdr:col>
      <xdr:colOff>1165413</xdr:colOff>
      <xdr:row>76</xdr:row>
      <xdr:rowOff>44824</xdr:rowOff>
    </xdr:to>
    <xdr:sp macro="" textlink="">
      <xdr:nvSpPr>
        <xdr:cNvPr id="1762" name="Flèche vers le bas 176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75</xdr:row>
      <xdr:rowOff>313765</xdr:rowOff>
    </xdr:from>
    <xdr:to>
      <xdr:col>0</xdr:col>
      <xdr:colOff>1165413</xdr:colOff>
      <xdr:row>76</xdr:row>
      <xdr:rowOff>44824</xdr:rowOff>
    </xdr:to>
    <xdr:sp macro="" textlink="">
      <xdr:nvSpPr>
        <xdr:cNvPr id="1763" name="Flèche vers le bas 176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75</xdr:row>
      <xdr:rowOff>313765</xdr:rowOff>
    </xdr:from>
    <xdr:to>
      <xdr:col>0</xdr:col>
      <xdr:colOff>1165413</xdr:colOff>
      <xdr:row>76</xdr:row>
      <xdr:rowOff>44824</xdr:rowOff>
    </xdr:to>
    <xdr:sp macro="" textlink="">
      <xdr:nvSpPr>
        <xdr:cNvPr id="1764" name="Flèche vers le bas 176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75</xdr:row>
      <xdr:rowOff>313765</xdr:rowOff>
    </xdr:from>
    <xdr:to>
      <xdr:col>0</xdr:col>
      <xdr:colOff>1165413</xdr:colOff>
      <xdr:row>76</xdr:row>
      <xdr:rowOff>44824</xdr:rowOff>
    </xdr:to>
    <xdr:sp macro="" textlink="">
      <xdr:nvSpPr>
        <xdr:cNvPr id="1765" name="Flèche vers le bas 176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75</xdr:row>
      <xdr:rowOff>313765</xdr:rowOff>
    </xdr:from>
    <xdr:to>
      <xdr:col>0</xdr:col>
      <xdr:colOff>1165413</xdr:colOff>
      <xdr:row>76</xdr:row>
      <xdr:rowOff>44824</xdr:rowOff>
    </xdr:to>
    <xdr:sp macro="" textlink="">
      <xdr:nvSpPr>
        <xdr:cNvPr id="1766" name="Flèche vers le bas 176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75</xdr:row>
      <xdr:rowOff>313765</xdr:rowOff>
    </xdr:from>
    <xdr:to>
      <xdr:col>0</xdr:col>
      <xdr:colOff>1165413</xdr:colOff>
      <xdr:row>76</xdr:row>
      <xdr:rowOff>44824</xdr:rowOff>
    </xdr:to>
    <xdr:sp macro="" textlink="">
      <xdr:nvSpPr>
        <xdr:cNvPr id="1767" name="Flèche vers le bas 176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75</xdr:row>
      <xdr:rowOff>313765</xdr:rowOff>
    </xdr:from>
    <xdr:to>
      <xdr:col>0</xdr:col>
      <xdr:colOff>1165413</xdr:colOff>
      <xdr:row>76</xdr:row>
      <xdr:rowOff>44824</xdr:rowOff>
    </xdr:to>
    <xdr:sp macro="" textlink="">
      <xdr:nvSpPr>
        <xdr:cNvPr id="1768" name="Flèche vers le bas 176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76</xdr:row>
      <xdr:rowOff>313765</xdr:rowOff>
    </xdr:from>
    <xdr:to>
      <xdr:col>0</xdr:col>
      <xdr:colOff>1165413</xdr:colOff>
      <xdr:row>77</xdr:row>
      <xdr:rowOff>44824</xdr:rowOff>
    </xdr:to>
    <xdr:sp macro="" textlink="">
      <xdr:nvSpPr>
        <xdr:cNvPr id="1769" name="Flèche vers le bas 176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75</xdr:row>
      <xdr:rowOff>313765</xdr:rowOff>
    </xdr:from>
    <xdr:to>
      <xdr:col>0</xdr:col>
      <xdr:colOff>1165413</xdr:colOff>
      <xdr:row>76</xdr:row>
      <xdr:rowOff>44824</xdr:rowOff>
    </xdr:to>
    <xdr:sp macro="" textlink="">
      <xdr:nvSpPr>
        <xdr:cNvPr id="1770" name="Flèche vers le bas 176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76</xdr:row>
      <xdr:rowOff>313765</xdr:rowOff>
    </xdr:from>
    <xdr:to>
      <xdr:col>0</xdr:col>
      <xdr:colOff>1165413</xdr:colOff>
      <xdr:row>77</xdr:row>
      <xdr:rowOff>44824</xdr:rowOff>
    </xdr:to>
    <xdr:sp macro="" textlink="">
      <xdr:nvSpPr>
        <xdr:cNvPr id="1771" name="Flèche vers le bas 177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76</xdr:row>
      <xdr:rowOff>313765</xdr:rowOff>
    </xdr:from>
    <xdr:to>
      <xdr:col>0</xdr:col>
      <xdr:colOff>1165413</xdr:colOff>
      <xdr:row>77</xdr:row>
      <xdr:rowOff>44824</xdr:rowOff>
    </xdr:to>
    <xdr:sp macro="" textlink="">
      <xdr:nvSpPr>
        <xdr:cNvPr id="1772" name="Flèche vers le bas 177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75</xdr:row>
      <xdr:rowOff>313765</xdr:rowOff>
    </xdr:from>
    <xdr:to>
      <xdr:col>0</xdr:col>
      <xdr:colOff>1165413</xdr:colOff>
      <xdr:row>76</xdr:row>
      <xdr:rowOff>44824</xdr:rowOff>
    </xdr:to>
    <xdr:sp macro="" textlink="">
      <xdr:nvSpPr>
        <xdr:cNvPr id="1773" name="Flèche vers le bas 1772"/>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76</xdr:row>
      <xdr:rowOff>313765</xdr:rowOff>
    </xdr:from>
    <xdr:to>
      <xdr:col>0</xdr:col>
      <xdr:colOff>1165413</xdr:colOff>
      <xdr:row>77</xdr:row>
      <xdr:rowOff>44824</xdr:rowOff>
    </xdr:to>
    <xdr:sp macro="" textlink="">
      <xdr:nvSpPr>
        <xdr:cNvPr id="1774" name="Flèche vers le bas 177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76</xdr:row>
      <xdr:rowOff>313765</xdr:rowOff>
    </xdr:from>
    <xdr:to>
      <xdr:col>0</xdr:col>
      <xdr:colOff>1165413</xdr:colOff>
      <xdr:row>77</xdr:row>
      <xdr:rowOff>44824</xdr:rowOff>
    </xdr:to>
    <xdr:sp macro="" textlink="">
      <xdr:nvSpPr>
        <xdr:cNvPr id="1775" name="Flèche vers le bas 177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76</xdr:row>
      <xdr:rowOff>313765</xdr:rowOff>
    </xdr:from>
    <xdr:to>
      <xdr:col>0</xdr:col>
      <xdr:colOff>1165413</xdr:colOff>
      <xdr:row>77</xdr:row>
      <xdr:rowOff>44824</xdr:rowOff>
    </xdr:to>
    <xdr:sp macro="" textlink="">
      <xdr:nvSpPr>
        <xdr:cNvPr id="1776" name="Flèche vers le bas 177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76</xdr:row>
      <xdr:rowOff>313765</xdr:rowOff>
    </xdr:from>
    <xdr:to>
      <xdr:col>0</xdr:col>
      <xdr:colOff>1165413</xdr:colOff>
      <xdr:row>77</xdr:row>
      <xdr:rowOff>44824</xdr:rowOff>
    </xdr:to>
    <xdr:sp macro="" textlink="">
      <xdr:nvSpPr>
        <xdr:cNvPr id="1777" name="Flèche vers le bas 177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76</xdr:row>
      <xdr:rowOff>313765</xdr:rowOff>
    </xdr:from>
    <xdr:to>
      <xdr:col>0</xdr:col>
      <xdr:colOff>1165413</xdr:colOff>
      <xdr:row>77</xdr:row>
      <xdr:rowOff>44824</xdr:rowOff>
    </xdr:to>
    <xdr:sp macro="" textlink="">
      <xdr:nvSpPr>
        <xdr:cNvPr id="1778" name="Flèche vers le bas 177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76</xdr:row>
      <xdr:rowOff>313765</xdr:rowOff>
    </xdr:from>
    <xdr:to>
      <xdr:col>0</xdr:col>
      <xdr:colOff>1165413</xdr:colOff>
      <xdr:row>77</xdr:row>
      <xdr:rowOff>44824</xdr:rowOff>
    </xdr:to>
    <xdr:sp macro="" textlink="">
      <xdr:nvSpPr>
        <xdr:cNvPr id="1779" name="Flèche vers le bas 177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76</xdr:row>
      <xdr:rowOff>313765</xdr:rowOff>
    </xdr:from>
    <xdr:to>
      <xdr:col>0</xdr:col>
      <xdr:colOff>1165413</xdr:colOff>
      <xdr:row>77</xdr:row>
      <xdr:rowOff>44824</xdr:rowOff>
    </xdr:to>
    <xdr:sp macro="" textlink="">
      <xdr:nvSpPr>
        <xdr:cNvPr id="1780" name="Flèche vers le bas 177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77</xdr:row>
      <xdr:rowOff>313765</xdr:rowOff>
    </xdr:from>
    <xdr:to>
      <xdr:col>0</xdr:col>
      <xdr:colOff>1165413</xdr:colOff>
      <xdr:row>78</xdr:row>
      <xdr:rowOff>44824</xdr:rowOff>
    </xdr:to>
    <xdr:sp macro="" textlink="">
      <xdr:nvSpPr>
        <xdr:cNvPr id="1781" name="Flèche vers le bas 178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76</xdr:row>
      <xdr:rowOff>313765</xdr:rowOff>
    </xdr:from>
    <xdr:to>
      <xdr:col>0</xdr:col>
      <xdr:colOff>1165413</xdr:colOff>
      <xdr:row>77</xdr:row>
      <xdr:rowOff>44824</xdr:rowOff>
    </xdr:to>
    <xdr:sp macro="" textlink="">
      <xdr:nvSpPr>
        <xdr:cNvPr id="1782" name="Flèche vers le bas 178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77</xdr:row>
      <xdr:rowOff>313765</xdr:rowOff>
    </xdr:from>
    <xdr:to>
      <xdr:col>0</xdr:col>
      <xdr:colOff>1165413</xdr:colOff>
      <xdr:row>78</xdr:row>
      <xdr:rowOff>44824</xdr:rowOff>
    </xdr:to>
    <xdr:sp macro="" textlink="">
      <xdr:nvSpPr>
        <xdr:cNvPr id="1783" name="Flèche vers le bas 178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77</xdr:row>
      <xdr:rowOff>313765</xdr:rowOff>
    </xdr:from>
    <xdr:to>
      <xdr:col>0</xdr:col>
      <xdr:colOff>1165413</xdr:colOff>
      <xdr:row>78</xdr:row>
      <xdr:rowOff>44824</xdr:rowOff>
    </xdr:to>
    <xdr:sp macro="" textlink="">
      <xdr:nvSpPr>
        <xdr:cNvPr id="1784" name="Flèche vers le bas 178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76</xdr:row>
      <xdr:rowOff>313765</xdr:rowOff>
    </xdr:from>
    <xdr:to>
      <xdr:col>0</xdr:col>
      <xdr:colOff>1165413</xdr:colOff>
      <xdr:row>77</xdr:row>
      <xdr:rowOff>44824</xdr:rowOff>
    </xdr:to>
    <xdr:sp macro="" textlink="">
      <xdr:nvSpPr>
        <xdr:cNvPr id="1785" name="Flèche vers le bas 1784"/>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77</xdr:row>
      <xdr:rowOff>313765</xdr:rowOff>
    </xdr:from>
    <xdr:to>
      <xdr:col>0</xdr:col>
      <xdr:colOff>1165413</xdr:colOff>
      <xdr:row>78</xdr:row>
      <xdr:rowOff>44824</xdr:rowOff>
    </xdr:to>
    <xdr:sp macro="" textlink="">
      <xdr:nvSpPr>
        <xdr:cNvPr id="1786" name="Flèche vers le bas 178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77</xdr:row>
      <xdr:rowOff>313765</xdr:rowOff>
    </xdr:from>
    <xdr:to>
      <xdr:col>0</xdr:col>
      <xdr:colOff>1165413</xdr:colOff>
      <xdr:row>78</xdr:row>
      <xdr:rowOff>44824</xdr:rowOff>
    </xdr:to>
    <xdr:sp macro="" textlink="">
      <xdr:nvSpPr>
        <xdr:cNvPr id="1787" name="Flèche vers le bas 178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77</xdr:row>
      <xdr:rowOff>313765</xdr:rowOff>
    </xdr:from>
    <xdr:to>
      <xdr:col>0</xdr:col>
      <xdr:colOff>1165413</xdr:colOff>
      <xdr:row>78</xdr:row>
      <xdr:rowOff>44824</xdr:rowOff>
    </xdr:to>
    <xdr:sp macro="" textlink="">
      <xdr:nvSpPr>
        <xdr:cNvPr id="1788" name="Flèche vers le bas 178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77</xdr:row>
      <xdr:rowOff>313765</xdr:rowOff>
    </xdr:from>
    <xdr:to>
      <xdr:col>0</xdr:col>
      <xdr:colOff>1165413</xdr:colOff>
      <xdr:row>78</xdr:row>
      <xdr:rowOff>44824</xdr:rowOff>
    </xdr:to>
    <xdr:sp macro="" textlink="">
      <xdr:nvSpPr>
        <xdr:cNvPr id="1789" name="Flèche vers le bas 178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77</xdr:row>
      <xdr:rowOff>313765</xdr:rowOff>
    </xdr:from>
    <xdr:to>
      <xdr:col>0</xdr:col>
      <xdr:colOff>1165413</xdr:colOff>
      <xdr:row>78</xdr:row>
      <xdr:rowOff>44824</xdr:rowOff>
    </xdr:to>
    <xdr:sp macro="" textlink="">
      <xdr:nvSpPr>
        <xdr:cNvPr id="1790" name="Flèche vers le bas 178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77</xdr:row>
      <xdr:rowOff>313765</xdr:rowOff>
    </xdr:from>
    <xdr:to>
      <xdr:col>0</xdr:col>
      <xdr:colOff>1165413</xdr:colOff>
      <xdr:row>78</xdr:row>
      <xdr:rowOff>44824</xdr:rowOff>
    </xdr:to>
    <xdr:sp macro="" textlink="">
      <xdr:nvSpPr>
        <xdr:cNvPr id="1791" name="Flèche vers le bas 179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77</xdr:row>
      <xdr:rowOff>313765</xdr:rowOff>
    </xdr:from>
    <xdr:to>
      <xdr:col>0</xdr:col>
      <xdr:colOff>1165413</xdr:colOff>
      <xdr:row>78</xdr:row>
      <xdr:rowOff>44824</xdr:rowOff>
    </xdr:to>
    <xdr:sp macro="" textlink="">
      <xdr:nvSpPr>
        <xdr:cNvPr id="1792" name="Flèche vers le bas 179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78</xdr:row>
      <xdr:rowOff>313765</xdr:rowOff>
    </xdr:from>
    <xdr:to>
      <xdr:col>0</xdr:col>
      <xdr:colOff>1165413</xdr:colOff>
      <xdr:row>79</xdr:row>
      <xdr:rowOff>44824</xdr:rowOff>
    </xdr:to>
    <xdr:sp macro="" textlink="">
      <xdr:nvSpPr>
        <xdr:cNvPr id="1793" name="Flèche vers le bas 179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77</xdr:row>
      <xdr:rowOff>313765</xdr:rowOff>
    </xdr:from>
    <xdr:to>
      <xdr:col>0</xdr:col>
      <xdr:colOff>1165413</xdr:colOff>
      <xdr:row>78</xdr:row>
      <xdr:rowOff>44824</xdr:rowOff>
    </xdr:to>
    <xdr:sp macro="" textlink="">
      <xdr:nvSpPr>
        <xdr:cNvPr id="1794" name="Flèche vers le bas 179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78</xdr:row>
      <xdr:rowOff>313765</xdr:rowOff>
    </xdr:from>
    <xdr:to>
      <xdr:col>0</xdr:col>
      <xdr:colOff>1165413</xdr:colOff>
      <xdr:row>79</xdr:row>
      <xdr:rowOff>44824</xdr:rowOff>
    </xdr:to>
    <xdr:sp macro="" textlink="">
      <xdr:nvSpPr>
        <xdr:cNvPr id="1795" name="Flèche vers le bas 179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78</xdr:row>
      <xdr:rowOff>313765</xdr:rowOff>
    </xdr:from>
    <xdr:to>
      <xdr:col>0</xdr:col>
      <xdr:colOff>1165413</xdr:colOff>
      <xdr:row>79</xdr:row>
      <xdr:rowOff>44824</xdr:rowOff>
    </xdr:to>
    <xdr:sp macro="" textlink="">
      <xdr:nvSpPr>
        <xdr:cNvPr id="1796" name="Flèche vers le bas 179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77</xdr:row>
      <xdr:rowOff>313765</xdr:rowOff>
    </xdr:from>
    <xdr:to>
      <xdr:col>0</xdr:col>
      <xdr:colOff>1165413</xdr:colOff>
      <xdr:row>78</xdr:row>
      <xdr:rowOff>44824</xdr:rowOff>
    </xdr:to>
    <xdr:sp macro="" textlink="">
      <xdr:nvSpPr>
        <xdr:cNvPr id="1797" name="Flèche vers le bas 1796"/>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78</xdr:row>
      <xdr:rowOff>313765</xdr:rowOff>
    </xdr:from>
    <xdr:to>
      <xdr:col>0</xdr:col>
      <xdr:colOff>1165413</xdr:colOff>
      <xdr:row>79</xdr:row>
      <xdr:rowOff>44824</xdr:rowOff>
    </xdr:to>
    <xdr:sp macro="" textlink="">
      <xdr:nvSpPr>
        <xdr:cNvPr id="1798" name="Flèche vers le bas 179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78</xdr:row>
      <xdr:rowOff>313765</xdr:rowOff>
    </xdr:from>
    <xdr:to>
      <xdr:col>0</xdr:col>
      <xdr:colOff>1165413</xdr:colOff>
      <xdr:row>79</xdr:row>
      <xdr:rowOff>44824</xdr:rowOff>
    </xdr:to>
    <xdr:sp macro="" textlink="">
      <xdr:nvSpPr>
        <xdr:cNvPr id="1799" name="Flèche vers le bas 179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78</xdr:row>
      <xdr:rowOff>313765</xdr:rowOff>
    </xdr:from>
    <xdr:to>
      <xdr:col>0</xdr:col>
      <xdr:colOff>1165413</xdr:colOff>
      <xdr:row>79</xdr:row>
      <xdr:rowOff>44824</xdr:rowOff>
    </xdr:to>
    <xdr:sp macro="" textlink="">
      <xdr:nvSpPr>
        <xdr:cNvPr id="1800" name="Flèche vers le bas 179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78</xdr:row>
      <xdr:rowOff>313765</xdr:rowOff>
    </xdr:from>
    <xdr:to>
      <xdr:col>0</xdr:col>
      <xdr:colOff>1165413</xdr:colOff>
      <xdr:row>79</xdr:row>
      <xdr:rowOff>44824</xdr:rowOff>
    </xdr:to>
    <xdr:sp macro="" textlink="">
      <xdr:nvSpPr>
        <xdr:cNvPr id="1801" name="Flèche vers le bas 180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78</xdr:row>
      <xdr:rowOff>313765</xdr:rowOff>
    </xdr:from>
    <xdr:to>
      <xdr:col>0</xdr:col>
      <xdr:colOff>1165413</xdr:colOff>
      <xdr:row>79</xdr:row>
      <xdr:rowOff>44824</xdr:rowOff>
    </xdr:to>
    <xdr:sp macro="" textlink="">
      <xdr:nvSpPr>
        <xdr:cNvPr id="1802" name="Flèche vers le bas 180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78</xdr:row>
      <xdr:rowOff>313765</xdr:rowOff>
    </xdr:from>
    <xdr:to>
      <xdr:col>0</xdr:col>
      <xdr:colOff>1165413</xdr:colOff>
      <xdr:row>79</xdr:row>
      <xdr:rowOff>44824</xdr:rowOff>
    </xdr:to>
    <xdr:sp macro="" textlink="">
      <xdr:nvSpPr>
        <xdr:cNvPr id="1803" name="Flèche vers le bas 180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78</xdr:row>
      <xdr:rowOff>313765</xdr:rowOff>
    </xdr:from>
    <xdr:to>
      <xdr:col>0</xdr:col>
      <xdr:colOff>1165413</xdr:colOff>
      <xdr:row>79</xdr:row>
      <xdr:rowOff>44824</xdr:rowOff>
    </xdr:to>
    <xdr:sp macro="" textlink="">
      <xdr:nvSpPr>
        <xdr:cNvPr id="1804" name="Flèche vers le bas 180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79</xdr:row>
      <xdr:rowOff>313765</xdr:rowOff>
    </xdr:from>
    <xdr:to>
      <xdr:col>0</xdr:col>
      <xdr:colOff>1165413</xdr:colOff>
      <xdr:row>80</xdr:row>
      <xdr:rowOff>44824</xdr:rowOff>
    </xdr:to>
    <xdr:sp macro="" textlink="">
      <xdr:nvSpPr>
        <xdr:cNvPr id="1805" name="Flèche vers le bas 180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78</xdr:row>
      <xdr:rowOff>313765</xdr:rowOff>
    </xdr:from>
    <xdr:to>
      <xdr:col>0</xdr:col>
      <xdr:colOff>1165413</xdr:colOff>
      <xdr:row>79</xdr:row>
      <xdr:rowOff>44824</xdr:rowOff>
    </xdr:to>
    <xdr:sp macro="" textlink="">
      <xdr:nvSpPr>
        <xdr:cNvPr id="1806" name="Flèche vers le bas 180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79</xdr:row>
      <xdr:rowOff>313765</xdr:rowOff>
    </xdr:from>
    <xdr:to>
      <xdr:col>0</xdr:col>
      <xdr:colOff>1165413</xdr:colOff>
      <xdr:row>80</xdr:row>
      <xdr:rowOff>44824</xdr:rowOff>
    </xdr:to>
    <xdr:sp macro="" textlink="">
      <xdr:nvSpPr>
        <xdr:cNvPr id="1807" name="Flèche vers le bas 180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79</xdr:row>
      <xdr:rowOff>313765</xdr:rowOff>
    </xdr:from>
    <xdr:to>
      <xdr:col>0</xdr:col>
      <xdr:colOff>1165413</xdr:colOff>
      <xdr:row>80</xdr:row>
      <xdr:rowOff>44824</xdr:rowOff>
    </xdr:to>
    <xdr:sp macro="" textlink="">
      <xdr:nvSpPr>
        <xdr:cNvPr id="1808" name="Flèche vers le bas 180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78</xdr:row>
      <xdr:rowOff>313765</xdr:rowOff>
    </xdr:from>
    <xdr:to>
      <xdr:col>0</xdr:col>
      <xdr:colOff>1165413</xdr:colOff>
      <xdr:row>79</xdr:row>
      <xdr:rowOff>44824</xdr:rowOff>
    </xdr:to>
    <xdr:sp macro="" textlink="">
      <xdr:nvSpPr>
        <xdr:cNvPr id="1809" name="Flèche vers le bas 1808"/>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79</xdr:row>
      <xdr:rowOff>313765</xdr:rowOff>
    </xdr:from>
    <xdr:to>
      <xdr:col>0</xdr:col>
      <xdr:colOff>1165413</xdr:colOff>
      <xdr:row>80</xdr:row>
      <xdr:rowOff>44824</xdr:rowOff>
    </xdr:to>
    <xdr:sp macro="" textlink="">
      <xdr:nvSpPr>
        <xdr:cNvPr id="1810" name="Flèche vers le bas 180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79</xdr:row>
      <xdr:rowOff>313765</xdr:rowOff>
    </xdr:from>
    <xdr:to>
      <xdr:col>0</xdr:col>
      <xdr:colOff>1165413</xdr:colOff>
      <xdr:row>80</xdr:row>
      <xdr:rowOff>44824</xdr:rowOff>
    </xdr:to>
    <xdr:sp macro="" textlink="">
      <xdr:nvSpPr>
        <xdr:cNvPr id="1811" name="Flèche vers le bas 181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79</xdr:row>
      <xdr:rowOff>313765</xdr:rowOff>
    </xdr:from>
    <xdr:to>
      <xdr:col>0</xdr:col>
      <xdr:colOff>1165413</xdr:colOff>
      <xdr:row>80</xdr:row>
      <xdr:rowOff>44824</xdr:rowOff>
    </xdr:to>
    <xdr:sp macro="" textlink="">
      <xdr:nvSpPr>
        <xdr:cNvPr id="1812" name="Flèche vers le bas 181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79</xdr:row>
      <xdr:rowOff>313765</xdr:rowOff>
    </xdr:from>
    <xdr:to>
      <xdr:col>0</xdr:col>
      <xdr:colOff>1165413</xdr:colOff>
      <xdr:row>80</xdr:row>
      <xdr:rowOff>44824</xdr:rowOff>
    </xdr:to>
    <xdr:sp macro="" textlink="">
      <xdr:nvSpPr>
        <xdr:cNvPr id="1813" name="Flèche vers le bas 181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79</xdr:row>
      <xdr:rowOff>313765</xdr:rowOff>
    </xdr:from>
    <xdr:to>
      <xdr:col>0</xdr:col>
      <xdr:colOff>1165413</xdr:colOff>
      <xdr:row>80</xdr:row>
      <xdr:rowOff>44824</xdr:rowOff>
    </xdr:to>
    <xdr:sp macro="" textlink="">
      <xdr:nvSpPr>
        <xdr:cNvPr id="1814" name="Flèche vers le bas 181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79</xdr:row>
      <xdr:rowOff>313765</xdr:rowOff>
    </xdr:from>
    <xdr:to>
      <xdr:col>0</xdr:col>
      <xdr:colOff>1165413</xdr:colOff>
      <xdr:row>80</xdr:row>
      <xdr:rowOff>44824</xdr:rowOff>
    </xdr:to>
    <xdr:sp macro="" textlink="">
      <xdr:nvSpPr>
        <xdr:cNvPr id="1815" name="Flèche vers le bas 181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79</xdr:row>
      <xdr:rowOff>313765</xdr:rowOff>
    </xdr:from>
    <xdr:to>
      <xdr:col>0</xdr:col>
      <xdr:colOff>1165413</xdr:colOff>
      <xdr:row>80</xdr:row>
      <xdr:rowOff>44824</xdr:rowOff>
    </xdr:to>
    <xdr:sp macro="" textlink="">
      <xdr:nvSpPr>
        <xdr:cNvPr id="1816" name="Flèche vers le bas 181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80</xdr:row>
      <xdr:rowOff>313765</xdr:rowOff>
    </xdr:from>
    <xdr:to>
      <xdr:col>0</xdr:col>
      <xdr:colOff>1165413</xdr:colOff>
      <xdr:row>81</xdr:row>
      <xdr:rowOff>44824</xdr:rowOff>
    </xdr:to>
    <xdr:sp macro="" textlink="">
      <xdr:nvSpPr>
        <xdr:cNvPr id="1817" name="Flèche vers le bas 181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79</xdr:row>
      <xdr:rowOff>313765</xdr:rowOff>
    </xdr:from>
    <xdr:to>
      <xdr:col>0</xdr:col>
      <xdr:colOff>1165413</xdr:colOff>
      <xdr:row>80</xdr:row>
      <xdr:rowOff>44824</xdr:rowOff>
    </xdr:to>
    <xdr:sp macro="" textlink="">
      <xdr:nvSpPr>
        <xdr:cNvPr id="1818" name="Flèche vers le bas 181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80</xdr:row>
      <xdr:rowOff>313765</xdr:rowOff>
    </xdr:from>
    <xdr:to>
      <xdr:col>0</xdr:col>
      <xdr:colOff>1165413</xdr:colOff>
      <xdr:row>81</xdr:row>
      <xdr:rowOff>44824</xdr:rowOff>
    </xdr:to>
    <xdr:sp macro="" textlink="">
      <xdr:nvSpPr>
        <xdr:cNvPr id="1819" name="Flèche vers le bas 181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80</xdr:row>
      <xdr:rowOff>313765</xdr:rowOff>
    </xdr:from>
    <xdr:to>
      <xdr:col>0</xdr:col>
      <xdr:colOff>1165413</xdr:colOff>
      <xdr:row>81</xdr:row>
      <xdr:rowOff>44824</xdr:rowOff>
    </xdr:to>
    <xdr:sp macro="" textlink="">
      <xdr:nvSpPr>
        <xdr:cNvPr id="1820" name="Flèche vers le bas 181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79</xdr:row>
      <xdr:rowOff>313765</xdr:rowOff>
    </xdr:from>
    <xdr:to>
      <xdr:col>0</xdr:col>
      <xdr:colOff>1165413</xdr:colOff>
      <xdr:row>80</xdr:row>
      <xdr:rowOff>44824</xdr:rowOff>
    </xdr:to>
    <xdr:sp macro="" textlink="">
      <xdr:nvSpPr>
        <xdr:cNvPr id="1821" name="Flèche vers le bas 1820"/>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80</xdr:row>
      <xdr:rowOff>313765</xdr:rowOff>
    </xdr:from>
    <xdr:to>
      <xdr:col>0</xdr:col>
      <xdr:colOff>1165413</xdr:colOff>
      <xdr:row>81</xdr:row>
      <xdr:rowOff>44824</xdr:rowOff>
    </xdr:to>
    <xdr:sp macro="" textlink="">
      <xdr:nvSpPr>
        <xdr:cNvPr id="1822" name="Flèche vers le bas 182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80</xdr:row>
      <xdr:rowOff>313765</xdr:rowOff>
    </xdr:from>
    <xdr:to>
      <xdr:col>0</xdr:col>
      <xdr:colOff>1165413</xdr:colOff>
      <xdr:row>81</xdr:row>
      <xdr:rowOff>44824</xdr:rowOff>
    </xdr:to>
    <xdr:sp macro="" textlink="">
      <xdr:nvSpPr>
        <xdr:cNvPr id="1823" name="Flèche vers le bas 182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80</xdr:row>
      <xdr:rowOff>313765</xdr:rowOff>
    </xdr:from>
    <xdr:to>
      <xdr:col>0</xdr:col>
      <xdr:colOff>1165413</xdr:colOff>
      <xdr:row>81</xdr:row>
      <xdr:rowOff>44824</xdr:rowOff>
    </xdr:to>
    <xdr:sp macro="" textlink="">
      <xdr:nvSpPr>
        <xdr:cNvPr id="1824" name="Flèche vers le bas 182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80</xdr:row>
      <xdr:rowOff>313765</xdr:rowOff>
    </xdr:from>
    <xdr:to>
      <xdr:col>0</xdr:col>
      <xdr:colOff>1165413</xdr:colOff>
      <xdr:row>81</xdr:row>
      <xdr:rowOff>44824</xdr:rowOff>
    </xdr:to>
    <xdr:sp macro="" textlink="">
      <xdr:nvSpPr>
        <xdr:cNvPr id="1825" name="Flèche vers le bas 182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80</xdr:row>
      <xdr:rowOff>313765</xdr:rowOff>
    </xdr:from>
    <xdr:to>
      <xdr:col>0</xdr:col>
      <xdr:colOff>1165413</xdr:colOff>
      <xdr:row>81</xdr:row>
      <xdr:rowOff>44824</xdr:rowOff>
    </xdr:to>
    <xdr:sp macro="" textlink="">
      <xdr:nvSpPr>
        <xdr:cNvPr id="1826" name="Flèche vers le bas 182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80</xdr:row>
      <xdr:rowOff>313765</xdr:rowOff>
    </xdr:from>
    <xdr:to>
      <xdr:col>0</xdr:col>
      <xdr:colOff>1165413</xdr:colOff>
      <xdr:row>81</xdr:row>
      <xdr:rowOff>44824</xdr:rowOff>
    </xdr:to>
    <xdr:sp macro="" textlink="">
      <xdr:nvSpPr>
        <xdr:cNvPr id="1827" name="Flèche vers le bas 182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80</xdr:row>
      <xdr:rowOff>313765</xdr:rowOff>
    </xdr:from>
    <xdr:to>
      <xdr:col>0</xdr:col>
      <xdr:colOff>1165413</xdr:colOff>
      <xdr:row>81</xdr:row>
      <xdr:rowOff>44824</xdr:rowOff>
    </xdr:to>
    <xdr:sp macro="" textlink="">
      <xdr:nvSpPr>
        <xdr:cNvPr id="1828" name="Flèche vers le bas 182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81</xdr:row>
      <xdr:rowOff>313765</xdr:rowOff>
    </xdr:from>
    <xdr:to>
      <xdr:col>0</xdr:col>
      <xdr:colOff>1165413</xdr:colOff>
      <xdr:row>82</xdr:row>
      <xdr:rowOff>44824</xdr:rowOff>
    </xdr:to>
    <xdr:sp macro="" textlink="">
      <xdr:nvSpPr>
        <xdr:cNvPr id="1829" name="Flèche vers le bas 182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80</xdr:row>
      <xdr:rowOff>313765</xdr:rowOff>
    </xdr:from>
    <xdr:to>
      <xdr:col>0</xdr:col>
      <xdr:colOff>1165413</xdr:colOff>
      <xdr:row>81</xdr:row>
      <xdr:rowOff>44824</xdr:rowOff>
    </xdr:to>
    <xdr:sp macro="" textlink="">
      <xdr:nvSpPr>
        <xdr:cNvPr id="1830" name="Flèche vers le bas 182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81</xdr:row>
      <xdr:rowOff>313765</xdr:rowOff>
    </xdr:from>
    <xdr:to>
      <xdr:col>0</xdr:col>
      <xdr:colOff>1165413</xdr:colOff>
      <xdr:row>82</xdr:row>
      <xdr:rowOff>44824</xdr:rowOff>
    </xdr:to>
    <xdr:sp macro="" textlink="">
      <xdr:nvSpPr>
        <xdr:cNvPr id="1831" name="Flèche vers le bas 183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81</xdr:row>
      <xdr:rowOff>313765</xdr:rowOff>
    </xdr:from>
    <xdr:to>
      <xdr:col>0</xdr:col>
      <xdr:colOff>1165413</xdr:colOff>
      <xdr:row>82</xdr:row>
      <xdr:rowOff>44824</xdr:rowOff>
    </xdr:to>
    <xdr:sp macro="" textlink="">
      <xdr:nvSpPr>
        <xdr:cNvPr id="1832" name="Flèche vers le bas 183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80</xdr:row>
      <xdr:rowOff>313765</xdr:rowOff>
    </xdr:from>
    <xdr:to>
      <xdr:col>0</xdr:col>
      <xdr:colOff>1165413</xdr:colOff>
      <xdr:row>81</xdr:row>
      <xdr:rowOff>44824</xdr:rowOff>
    </xdr:to>
    <xdr:sp macro="" textlink="">
      <xdr:nvSpPr>
        <xdr:cNvPr id="1833" name="Flèche vers le bas 1832"/>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81</xdr:row>
      <xdr:rowOff>313765</xdr:rowOff>
    </xdr:from>
    <xdr:to>
      <xdr:col>0</xdr:col>
      <xdr:colOff>1165413</xdr:colOff>
      <xdr:row>82</xdr:row>
      <xdr:rowOff>44824</xdr:rowOff>
    </xdr:to>
    <xdr:sp macro="" textlink="">
      <xdr:nvSpPr>
        <xdr:cNvPr id="1834" name="Flèche vers le bas 183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81</xdr:row>
      <xdr:rowOff>313765</xdr:rowOff>
    </xdr:from>
    <xdr:to>
      <xdr:col>0</xdr:col>
      <xdr:colOff>1165413</xdr:colOff>
      <xdr:row>82</xdr:row>
      <xdr:rowOff>44824</xdr:rowOff>
    </xdr:to>
    <xdr:sp macro="" textlink="">
      <xdr:nvSpPr>
        <xdr:cNvPr id="1835" name="Flèche vers le bas 183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81</xdr:row>
      <xdr:rowOff>313765</xdr:rowOff>
    </xdr:from>
    <xdr:to>
      <xdr:col>0</xdr:col>
      <xdr:colOff>1165413</xdr:colOff>
      <xdr:row>82</xdr:row>
      <xdr:rowOff>44824</xdr:rowOff>
    </xdr:to>
    <xdr:sp macro="" textlink="">
      <xdr:nvSpPr>
        <xdr:cNvPr id="1836" name="Flèche vers le bas 183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81</xdr:row>
      <xdr:rowOff>313765</xdr:rowOff>
    </xdr:from>
    <xdr:to>
      <xdr:col>0</xdr:col>
      <xdr:colOff>1165413</xdr:colOff>
      <xdr:row>82</xdr:row>
      <xdr:rowOff>44824</xdr:rowOff>
    </xdr:to>
    <xdr:sp macro="" textlink="">
      <xdr:nvSpPr>
        <xdr:cNvPr id="1837" name="Flèche vers le bas 183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81</xdr:row>
      <xdr:rowOff>313765</xdr:rowOff>
    </xdr:from>
    <xdr:to>
      <xdr:col>0</xdr:col>
      <xdr:colOff>1165413</xdr:colOff>
      <xdr:row>82</xdr:row>
      <xdr:rowOff>44824</xdr:rowOff>
    </xdr:to>
    <xdr:sp macro="" textlink="">
      <xdr:nvSpPr>
        <xdr:cNvPr id="1838" name="Flèche vers le bas 183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81</xdr:row>
      <xdr:rowOff>313765</xdr:rowOff>
    </xdr:from>
    <xdr:to>
      <xdr:col>0</xdr:col>
      <xdr:colOff>1165413</xdr:colOff>
      <xdr:row>82</xdr:row>
      <xdr:rowOff>44824</xdr:rowOff>
    </xdr:to>
    <xdr:sp macro="" textlink="">
      <xdr:nvSpPr>
        <xdr:cNvPr id="1839" name="Flèche vers le bas 183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81</xdr:row>
      <xdr:rowOff>313765</xdr:rowOff>
    </xdr:from>
    <xdr:to>
      <xdr:col>0</xdr:col>
      <xdr:colOff>1165413</xdr:colOff>
      <xdr:row>82</xdr:row>
      <xdr:rowOff>44824</xdr:rowOff>
    </xdr:to>
    <xdr:sp macro="" textlink="">
      <xdr:nvSpPr>
        <xdr:cNvPr id="1840" name="Flèche vers le bas 183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82</xdr:row>
      <xdr:rowOff>313765</xdr:rowOff>
    </xdr:from>
    <xdr:to>
      <xdr:col>0</xdr:col>
      <xdr:colOff>1165413</xdr:colOff>
      <xdr:row>83</xdr:row>
      <xdr:rowOff>44824</xdr:rowOff>
    </xdr:to>
    <xdr:sp macro="" textlink="">
      <xdr:nvSpPr>
        <xdr:cNvPr id="1841" name="Flèche vers le bas 184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81</xdr:row>
      <xdr:rowOff>313765</xdr:rowOff>
    </xdr:from>
    <xdr:to>
      <xdr:col>0</xdr:col>
      <xdr:colOff>1165413</xdr:colOff>
      <xdr:row>82</xdr:row>
      <xdr:rowOff>44824</xdr:rowOff>
    </xdr:to>
    <xdr:sp macro="" textlink="">
      <xdr:nvSpPr>
        <xdr:cNvPr id="1842" name="Flèche vers le bas 184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82</xdr:row>
      <xdr:rowOff>313765</xdr:rowOff>
    </xdr:from>
    <xdr:to>
      <xdr:col>0</xdr:col>
      <xdr:colOff>1165413</xdr:colOff>
      <xdr:row>83</xdr:row>
      <xdr:rowOff>44824</xdr:rowOff>
    </xdr:to>
    <xdr:sp macro="" textlink="">
      <xdr:nvSpPr>
        <xdr:cNvPr id="1843" name="Flèche vers le bas 184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82</xdr:row>
      <xdr:rowOff>313765</xdr:rowOff>
    </xdr:from>
    <xdr:to>
      <xdr:col>0</xdr:col>
      <xdr:colOff>1165413</xdr:colOff>
      <xdr:row>83</xdr:row>
      <xdr:rowOff>44824</xdr:rowOff>
    </xdr:to>
    <xdr:sp macro="" textlink="">
      <xdr:nvSpPr>
        <xdr:cNvPr id="1844" name="Flèche vers le bas 184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81</xdr:row>
      <xdr:rowOff>313765</xdr:rowOff>
    </xdr:from>
    <xdr:to>
      <xdr:col>0</xdr:col>
      <xdr:colOff>1165413</xdr:colOff>
      <xdr:row>82</xdr:row>
      <xdr:rowOff>44824</xdr:rowOff>
    </xdr:to>
    <xdr:sp macro="" textlink="">
      <xdr:nvSpPr>
        <xdr:cNvPr id="1845" name="Flèche vers le bas 1844"/>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82</xdr:row>
      <xdr:rowOff>313765</xdr:rowOff>
    </xdr:from>
    <xdr:to>
      <xdr:col>0</xdr:col>
      <xdr:colOff>1165413</xdr:colOff>
      <xdr:row>83</xdr:row>
      <xdr:rowOff>44824</xdr:rowOff>
    </xdr:to>
    <xdr:sp macro="" textlink="">
      <xdr:nvSpPr>
        <xdr:cNvPr id="1846" name="Flèche vers le bas 184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82</xdr:row>
      <xdr:rowOff>313765</xdr:rowOff>
    </xdr:from>
    <xdr:to>
      <xdr:col>0</xdr:col>
      <xdr:colOff>1165413</xdr:colOff>
      <xdr:row>83</xdr:row>
      <xdr:rowOff>44824</xdr:rowOff>
    </xdr:to>
    <xdr:sp macro="" textlink="">
      <xdr:nvSpPr>
        <xdr:cNvPr id="1847" name="Flèche vers le bas 184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82</xdr:row>
      <xdr:rowOff>313765</xdr:rowOff>
    </xdr:from>
    <xdr:to>
      <xdr:col>0</xdr:col>
      <xdr:colOff>1165413</xdr:colOff>
      <xdr:row>83</xdr:row>
      <xdr:rowOff>44824</xdr:rowOff>
    </xdr:to>
    <xdr:sp macro="" textlink="">
      <xdr:nvSpPr>
        <xdr:cNvPr id="1848" name="Flèche vers le bas 184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82</xdr:row>
      <xdr:rowOff>313765</xdr:rowOff>
    </xdr:from>
    <xdr:to>
      <xdr:col>0</xdr:col>
      <xdr:colOff>1165413</xdr:colOff>
      <xdr:row>83</xdr:row>
      <xdr:rowOff>44824</xdr:rowOff>
    </xdr:to>
    <xdr:sp macro="" textlink="">
      <xdr:nvSpPr>
        <xdr:cNvPr id="1849" name="Flèche vers le bas 184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82</xdr:row>
      <xdr:rowOff>313765</xdr:rowOff>
    </xdr:from>
    <xdr:to>
      <xdr:col>0</xdr:col>
      <xdr:colOff>1165413</xdr:colOff>
      <xdr:row>83</xdr:row>
      <xdr:rowOff>44824</xdr:rowOff>
    </xdr:to>
    <xdr:sp macro="" textlink="">
      <xdr:nvSpPr>
        <xdr:cNvPr id="1850" name="Flèche vers le bas 184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82</xdr:row>
      <xdr:rowOff>313765</xdr:rowOff>
    </xdr:from>
    <xdr:to>
      <xdr:col>0</xdr:col>
      <xdr:colOff>1165413</xdr:colOff>
      <xdr:row>83</xdr:row>
      <xdr:rowOff>44824</xdr:rowOff>
    </xdr:to>
    <xdr:sp macro="" textlink="">
      <xdr:nvSpPr>
        <xdr:cNvPr id="1851" name="Flèche vers le bas 185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82</xdr:row>
      <xdr:rowOff>313765</xdr:rowOff>
    </xdr:from>
    <xdr:to>
      <xdr:col>0</xdr:col>
      <xdr:colOff>1165413</xdr:colOff>
      <xdr:row>83</xdr:row>
      <xdr:rowOff>44824</xdr:rowOff>
    </xdr:to>
    <xdr:sp macro="" textlink="">
      <xdr:nvSpPr>
        <xdr:cNvPr id="1852" name="Flèche vers le bas 185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83</xdr:row>
      <xdr:rowOff>313765</xdr:rowOff>
    </xdr:from>
    <xdr:to>
      <xdr:col>0</xdr:col>
      <xdr:colOff>1165413</xdr:colOff>
      <xdr:row>84</xdr:row>
      <xdr:rowOff>44824</xdr:rowOff>
    </xdr:to>
    <xdr:sp macro="" textlink="">
      <xdr:nvSpPr>
        <xdr:cNvPr id="1853" name="Flèche vers le bas 185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82</xdr:row>
      <xdr:rowOff>313765</xdr:rowOff>
    </xdr:from>
    <xdr:to>
      <xdr:col>0</xdr:col>
      <xdr:colOff>1165413</xdr:colOff>
      <xdr:row>83</xdr:row>
      <xdr:rowOff>44824</xdr:rowOff>
    </xdr:to>
    <xdr:sp macro="" textlink="">
      <xdr:nvSpPr>
        <xdr:cNvPr id="1854" name="Flèche vers le bas 185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83</xdr:row>
      <xdr:rowOff>313765</xdr:rowOff>
    </xdr:from>
    <xdr:to>
      <xdr:col>0</xdr:col>
      <xdr:colOff>1165413</xdr:colOff>
      <xdr:row>84</xdr:row>
      <xdr:rowOff>44824</xdr:rowOff>
    </xdr:to>
    <xdr:sp macro="" textlink="">
      <xdr:nvSpPr>
        <xdr:cNvPr id="1855" name="Flèche vers le bas 185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83</xdr:row>
      <xdr:rowOff>313765</xdr:rowOff>
    </xdr:from>
    <xdr:to>
      <xdr:col>0</xdr:col>
      <xdr:colOff>1165413</xdr:colOff>
      <xdr:row>84</xdr:row>
      <xdr:rowOff>44824</xdr:rowOff>
    </xdr:to>
    <xdr:sp macro="" textlink="">
      <xdr:nvSpPr>
        <xdr:cNvPr id="1856" name="Flèche vers le bas 185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82</xdr:row>
      <xdr:rowOff>313765</xdr:rowOff>
    </xdr:from>
    <xdr:to>
      <xdr:col>0</xdr:col>
      <xdr:colOff>1165413</xdr:colOff>
      <xdr:row>83</xdr:row>
      <xdr:rowOff>44824</xdr:rowOff>
    </xdr:to>
    <xdr:sp macro="" textlink="">
      <xdr:nvSpPr>
        <xdr:cNvPr id="1857" name="Flèche vers le bas 1856"/>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83</xdr:row>
      <xdr:rowOff>313765</xdr:rowOff>
    </xdr:from>
    <xdr:to>
      <xdr:col>0</xdr:col>
      <xdr:colOff>1165413</xdr:colOff>
      <xdr:row>84</xdr:row>
      <xdr:rowOff>44824</xdr:rowOff>
    </xdr:to>
    <xdr:sp macro="" textlink="">
      <xdr:nvSpPr>
        <xdr:cNvPr id="1858" name="Flèche vers le bas 185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83</xdr:row>
      <xdr:rowOff>313765</xdr:rowOff>
    </xdr:from>
    <xdr:to>
      <xdr:col>0</xdr:col>
      <xdr:colOff>1165413</xdr:colOff>
      <xdr:row>84</xdr:row>
      <xdr:rowOff>44824</xdr:rowOff>
    </xdr:to>
    <xdr:sp macro="" textlink="">
      <xdr:nvSpPr>
        <xdr:cNvPr id="1859" name="Flèche vers le bas 185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83</xdr:row>
      <xdr:rowOff>313765</xdr:rowOff>
    </xdr:from>
    <xdr:to>
      <xdr:col>0</xdr:col>
      <xdr:colOff>1165413</xdr:colOff>
      <xdr:row>84</xdr:row>
      <xdr:rowOff>44824</xdr:rowOff>
    </xdr:to>
    <xdr:sp macro="" textlink="">
      <xdr:nvSpPr>
        <xdr:cNvPr id="1860" name="Flèche vers le bas 185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83</xdr:row>
      <xdr:rowOff>313765</xdr:rowOff>
    </xdr:from>
    <xdr:to>
      <xdr:col>0</xdr:col>
      <xdr:colOff>1165413</xdr:colOff>
      <xdr:row>84</xdr:row>
      <xdr:rowOff>44824</xdr:rowOff>
    </xdr:to>
    <xdr:sp macro="" textlink="">
      <xdr:nvSpPr>
        <xdr:cNvPr id="1861" name="Flèche vers le bas 186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83</xdr:row>
      <xdr:rowOff>313765</xdr:rowOff>
    </xdr:from>
    <xdr:to>
      <xdr:col>0</xdr:col>
      <xdr:colOff>1165413</xdr:colOff>
      <xdr:row>84</xdr:row>
      <xdr:rowOff>44824</xdr:rowOff>
    </xdr:to>
    <xdr:sp macro="" textlink="">
      <xdr:nvSpPr>
        <xdr:cNvPr id="1862" name="Flèche vers le bas 186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83</xdr:row>
      <xdr:rowOff>313765</xdr:rowOff>
    </xdr:from>
    <xdr:to>
      <xdr:col>0</xdr:col>
      <xdr:colOff>1165413</xdr:colOff>
      <xdr:row>84</xdr:row>
      <xdr:rowOff>44824</xdr:rowOff>
    </xdr:to>
    <xdr:sp macro="" textlink="">
      <xdr:nvSpPr>
        <xdr:cNvPr id="1863" name="Flèche vers le bas 186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83</xdr:row>
      <xdr:rowOff>313765</xdr:rowOff>
    </xdr:from>
    <xdr:to>
      <xdr:col>0</xdr:col>
      <xdr:colOff>1165413</xdr:colOff>
      <xdr:row>84</xdr:row>
      <xdr:rowOff>44824</xdr:rowOff>
    </xdr:to>
    <xdr:sp macro="" textlink="">
      <xdr:nvSpPr>
        <xdr:cNvPr id="1864" name="Flèche vers le bas 186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84</xdr:row>
      <xdr:rowOff>313765</xdr:rowOff>
    </xdr:from>
    <xdr:to>
      <xdr:col>0</xdr:col>
      <xdr:colOff>1165413</xdr:colOff>
      <xdr:row>85</xdr:row>
      <xdr:rowOff>44824</xdr:rowOff>
    </xdr:to>
    <xdr:sp macro="" textlink="">
      <xdr:nvSpPr>
        <xdr:cNvPr id="1865" name="Flèche vers le bas 186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83</xdr:row>
      <xdr:rowOff>313765</xdr:rowOff>
    </xdr:from>
    <xdr:to>
      <xdr:col>0</xdr:col>
      <xdr:colOff>1165413</xdr:colOff>
      <xdr:row>84</xdr:row>
      <xdr:rowOff>44824</xdr:rowOff>
    </xdr:to>
    <xdr:sp macro="" textlink="">
      <xdr:nvSpPr>
        <xdr:cNvPr id="1866" name="Flèche vers le bas 186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84</xdr:row>
      <xdr:rowOff>313765</xdr:rowOff>
    </xdr:from>
    <xdr:to>
      <xdr:col>0</xdr:col>
      <xdr:colOff>1165413</xdr:colOff>
      <xdr:row>85</xdr:row>
      <xdr:rowOff>44824</xdr:rowOff>
    </xdr:to>
    <xdr:sp macro="" textlink="">
      <xdr:nvSpPr>
        <xdr:cNvPr id="1867" name="Flèche vers le bas 186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84</xdr:row>
      <xdr:rowOff>313765</xdr:rowOff>
    </xdr:from>
    <xdr:to>
      <xdr:col>0</xdr:col>
      <xdr:colOff>1165413</xdr:colOff>
      <xdr:row>85</xdr:row>
      <xdr:rowOff>44824</xdr:rowOff>
    </xdr:to>
    <xdr:sp macro="" textlink="">
      <xdr:nvSpPr>
        <xdr:cNvPr id="1868" name="Flèche vers le bas 186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83</xdr:row>
      <xdr:rowOff>313765</xdr:rowOff>
    </xdr:from>
    <xdr:to>
      <xdr:col>0</xdr:col>
      <xdr:colOff>1165413</xdr:colOff>
      <xdr:row>84</xdr:row>
      <xdr:rowOff>44824</xdr:rowOff>
    </xdr:to>
    <xdr:sp macro="" textlink="">
      <xdr:nvSpPr>
        <xdr:cNvPr id="1869" name="Flèche vers le bas 1868"/>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84</xdr:row>
      <xdr:rowOff>313765</xdr:rowOff>
    </xdr:from>
    <xdr:to>
      <xdr:col>0</xdr:col>
      <xdr:colOff>1165413</xdr:colOff>
      <xdr:row>85</xdr:row>
      <xdr:rowOff>44824</xdr:rowOff>
    </xdr:to>
    <xdr:sp macro="" textlink="">
      <xdr:nvSpPr>
        <xdr:cNvPr id="1870" name="Flèche vers le bas 186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84</xdr:row>
      <xdr:rowOff>313765</xdr:rowOff>
    </xdr:from>
    <xdr:to>
      <xdr:col>0</xdr:col>
      <xdr:colOff>1165413</xdr:colOff>
      <xdr:row>85</xdr:row>
      <xdr:rowOff>44824</xdr:rowOff>
    </xdr:to>
    <xdr:sp macro="" textlink="">
      <xdr:nvSpPr>
        <xdr:cNvPr id="1871" name="Flèche vers le bas 187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84</xdr:row>
      <xdr:rowOff>313765</xdr:rowOff>
    </xdr:from>
    <xdr:to>
      <xdr:col>0</xdr:col>
      <xdr:colOff>1165413</xdr:colOff>
      <xdr:row>85</xdr:row>
      <xdr:rowOff>44824</xdr:rowOff>
    </xdr:to>
    <xdr:sp macro="" textlink="">
      <xdr:nvSpPr>
        <xdr:cNvPr id="1872" name="Flèche vers le bas 187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84</xdr:row>
      <xdr:rowOff>313765</xdr:rowOff>
    </xdr:from>
    <xdr:to>
      <xdr:col>0</xdr:col>
      <xdr:colOff>1165413</xdr:colOff>
      <xdr:row>85</xdr:row>
      <xdr:rowOff>44824</xdr:rowOff>
    </xdr:to>
    <xdr:sp macro="" textlink="">
      <xdr:nvSpPr>
        <xdr:cNvPr id="1873" name="Flèche vers le bas 187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84</xdr:row>
      <xdr:rowOff>313765</xdr:rowOff>
    </xdr:from>
    <xdr:to>
      <xdr:col>0</xdr:col>
      <xdr:colOff>1165413</xdr:colOff>
      <xdr:row>85</xdr:row>
      <xdr:rowOff>44824</xdr:rowOff>
    </xdr:to>
    <xdr:sp macro="" textlink="">
      <xdr:nvSpPr>
        <xdr:cNvPr id="1874" name="Flèche vers le bas 187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84</xdr:row>
      <xdr:rowOff>313765</xdr:rowOff>
    </xdr:from>
    <xdr:to>
      <xdr:col>0</xdr:col>
      <xdr:colOff>1165413</xdr:colOff>
      <xdr:row>85</xdr:row>
      <xdr:rowOff>44824</xdr:rowOff>
    </xdr:to>
    <xdr:sp macro="" textlink="">
      <xdr:nvSpPr>
        <xdr:cNvPr id="1875" name="Flèche vers le bas 187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84</xdr:row>
      <xdr:rowOff>313765</xdr:rowOff>
    </xdr:from>
    <xdr:to>
      <xdr:col>0</xdr:col>
      <xdr:colOff>1165413</xdr:colOff>
      <xdr:row>85</xdr:row>
      <xdr:rowOff>44824</xdr:rowOff>
    </xdr:to>
    <xdr:sp macro="" textlink="">
      <xdr:nvSpPr>
        <xdr:cNvPr id="1876" name="Flèche vers le bas 187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85</xdr:row>
      <xdr:rowOff>313765</xdr:rowOff>
    </xdr:from>
    <xdr:to>
      <xdr:col>0</xdr:col>
      <xdr:colOff>1165413</xdr:colOff>
      <xdr:row>86</xdr:row>
      <xdr:rowOff>44824</xdr:rowOff>
    </xdr:to>
    <xdr:sp macro="" textlink="">
      <xdr:nvSpPr>
        <xdr:cNvPr id="1877" name="Flèche vers le bas 187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84</xdr:row>
      <xdr:rowOff>313765</xdr:rowOff>
    </xdr:from>
    <xdr:to>
      <xdr:col>0</xdr:col>
      <xdr:colOff>1165413</xdr:colOff>
      <xdr:row>85</xdr:row>
      <xdr:rowOff>44824</xdr:rowOff>
    </xdr:to>
    <xdr:sp macro="" textlink="">
      <xdr:nvSpPr>
        <xdr:cNvPr id="1878" name="Flèche vers le bas 187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85</xdr:row>
      <xdr:rowOff>313765</xdr:rowOff>
    </xdr:from>
    <xdr:to>
      <xdr:col>0</xdr:col>
      <xdr:colOff>1165413</xdr:colOff>
      <xdr:row>86</xdr:row>
      <xdr:rowOff>44824</xdr:rowOff>
    </xdr:to>
    <xdr:sp macro="" textlink="">
      <xdr:nvSpPr>
        <xdr:cNvPr id="1879" name="Flèche vers le bas 187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85</xdr:row>
      <xdr:rowOff>313765</xdr:rowOff>
    </xdr:from>
    <xdr:to>
      <xdr:col>0</xdr:col>
      <xdr:colOff>1165413</xdr:colOff>
      <xdr:row>86</xdr:row>
      <xdr:rowOff>44824</xdr:rowOff>
    </xdr:to>
    <xdr:sp macro="" textlink="">
      <xdr:nvSpPr>
        <xdr:cNvPr id="1880" name="Flèche vers le bas 187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84</xdr:row>
      <xdr:rowOff>313765</xdr:rowOff>
    </xdr:from>
    <xdr:to>
      <xdr:col>0</xdr:col>
      <xdr:colOff>1165413</xdr:colOff>
      <xdr:row>85</xdr:row>
      <xdr:rowOff>44824</xdr:rowOff>
    </xdr:to>
    <xdr:sp macro="" textlink="">
      <xdr:nvSpPr>
        <xdr:cNvPr id="1881" name="Flèche vers le bas 1880"/>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85</xdr:row>
      <xdr:rowOff>313765</xdr:rowOff>
    </xdr:from>
    <xdr:to>
      <xdr:col>0</xdr:col>
      <xdr:colOff>1165413</xdr:colOff>
      <xdr:row>86</xdr:row>
      <xdr:rowOff>44824</xdr:rowOff>
    </xdr:to>
    <xdr:sp macro="" textlink="">
      <xdr:nvSpPr>
        <xdr:cNvPr id="1882" name="Flèche vers le bas 188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85</xdr:row>
      <xdr:rowOff>313765</xdr:rowOff>
    </xdr:from>
    <xdr:to>
      <xdr:col>0</xdr:col>
      <xdr:colOff>1165413</xdr:colOff>
      <xdr:row>86</xdr:row>
      <xdr:rowOff>44824</xdr:rowOff>
    </xdr:to>
    <xdr:sp macro="" textlink="">
      <xdr:nvSpPr>
        <xdr:cNvPr id="1883" name="Flèche vers le bas 188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85</xdr:row>
      <xdr:rowOff>313765</xdr:rowOff>
    </xdr:from>
    <xdr:to>
      <xdr:col>0</xdr:col>
      <xdr:colOff>1165413</xdr:colOff>
      <xdr:row>86</xdr:row>
      <xdr:rowOff>44824</xdr:rowOff>
    </xdr:to>
    <xdr:sp macro="" textlink="">
      <xdr:nvSpPr>
        <xdr:cNvPr id="1884" name="Flèche vers le bas 188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85</xdr:row>
      <xdr:rowOff>313765</xdr:rowOff>
    </xdr:from>
    <xdr:to>
      <xdr:col>0</xdr:col>
      <xdr:colOff>1165413</xdr:colOff>
      <xdr:row>86</xdr:row>
      <xdr:rowOff>44824</xdr:rowOff>
    </xdr:to>
    <xdr:sp macro="" textlink="">
      <xdr:nvSpPr>
        <xdr:cNvPr id="1885" name="Flèche vers le bas 188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85</xdr:row>
      <xdr:rowOff>313765</xdr:rowOff>
    </xdr:from>
    <xdr:to>
      <xdr:col>0</xdr:col>
      <xdr:colOff>1165413</xdr:colOff>
      <xdr:row>86</xdr:row>
      <xdr:rowOff>44824</xdr:rowOff>
    </xdr:to>
    <xdr:sp macro="" textlink="">
      <xdr:nvSpPr>
        <xdr:cNvPr id="1886" name="Flèche vers le bas 188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85</xdr:row>
      <xdr:rowOff>313765</xdr:rowOff>
    </xdr:from>
    <xdr:to>
      <xdr:col>0</xdr:col>
      <xdr:colOff>1165413</xdr:colOff>
      <xdr:row>86</xdr:row>
      <xdr:rowOff>44824</xdr:rowOff>
    </xdr:to>
    <xdr:sp macro="" textlink="">
      <xdr:nvSpPr>
        <xdr:cNvPr id="1887" name="Flèche vers le bas 188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85</xdr:row>
      <xdr:rowOff>313765</xdr:rowOff>
    </xdr:from>
    <xdr:to>
      <xdr:col>0</xdr:col>
      <xdr:colOff>1165413</xdr:colOff>
      <xdr:row>86</xdr:row>
      <xdr:rowOff>44824</xdr:rowOff>
    </xdr:to>
    <xdr:sp macro="" textlink="">
      <xdr:nvSpPr>
        <xdr:cNvPr id="1888" name="Flèche vers le bas 188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86</xdr:row>
      <xdr:rowOff>313765</xdr:rowOff>
    </xdr:from>
    <xdr:to>
      <xdr:col>0</xdr:col>
      <xdr:colOff>1165413</xdr:colOff>
      <xdr:row>87</xdr:row>
      <xdr:rowOff>44824</xdr:rowOff>
    </xdr:to>
    <xdr:sp macro="" textlink="">
      <xdr:nvSpPr>
        <xdr:cNvPr id="1889" name="Flèche vers le bas 188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85</xdr:row>
      <xdr:rowOff>313765</xdr:rowOff>
    </xdr:from>
    <xdr:to>
      <xdr:col>0</xdr:col>
      <xdr:colOff>1165413</xdr:colOff>
      <xdr:row>86</xdr:row>
      <xdr:rowOff>44824</xdr:rowOff>
    </xdr:to>
    <xdr:sp macro="" textlink="">
      <xdr:nvSpPr>
        <xdr:cNvPr id="1890" name="Flèche vers le bas 188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86</xdr:row>
      <xdr:rowOff>313765</xdr:rowOff>
    </xdr:from>
    <xdr:to>
      <xdr:col>0</xdr:col>
      <xdr:colOff>1165413</xdr:colOff>
      <xdr:row>87</xdr:row>
      <xdr:rowOff>44824</xdr:rowOff>
    </xdr:to>
    <xdr:sp macro="" textlink="">
      <xdr:nvSpPr>
        <xdr:cNvPr id="1891" name="Flèche vers le bas 189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86</xdr:row>
      <xdr:rowOff>313765</xdr:rowOff>
    </xdr:from>
    <xdr:to>
      <xdr:col>0</xdr:col>
      <xdr:colOff>1165413</xdr:colOff>
      <xdr:row>87</xdr:row>
      <xdr:rowOff>44824</xdr:rowOff>
    </xdr:to>
    <xdr:sp macro="" textlink="">
      <xdr:nvSpPr>
        <xdr:cNvPr id="1892" name="Flèche vers le bas 189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85</xdr:row>
      <xdr:rowOff>313765</xdr:rowOff>
    </xdr:from>
    <xdr:to>
      <xdr:col>0</xdr:col>
      <xdr:colOff>1165413</xdr:colOff>
      <xdr:row>86</xdr:row>
      <xdr:rowOff>44824</xdr:rowOff>
    </xdr:to>
    <xdr:sp macro="" textlink="">
      <xdr:nvSpPr>
        <xdr:cNvPr id="1893" name="Flèche vers le bas 1892"/>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86</xdr:row>
      <xdr:rowOff>313765</xdr:rowOff>
    </xdr:from>
    <xdr:to>
      <xdr:col>0</xdr:col>
      <xdr:colOff>1165413</xdr:colOff>
      <xdr:row>87</xdr:row>
      <xdr:rowOff>44824</xdr:rowOff>
    </xdr:to>
    <xdr:sp macro="" textlink="">
      <xdr:nvSpPr>
        <xdr:cNvPr id="1894" name="Flèche vers le bas 189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86</xdr:row>
      <xdr:rowOff>313765</xdr:rowOff>
    </xdr:from>
    <xdr:to>
      <xdr:col>0</xdr:col>
      <xdr:colOff>1165413</xdr:colOff>
      <xdr:row>87</xdr:row>
      <xdr:rowOff>44824</xdr:rowOff>
    </xdr:to>
    <xdr:sp macro="" textlink="">
      <xdr:nvSpPr>
        <xdr:cNvPr id="1895" name="Flèche vers le bas 189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86</xdr:row>
      <xdr:rowOff>313765</xdr:rowOff>
    </xdr:from>
    <xdr:to>
      <xdr:col>0</xdr:col>
      <xdr:colOff>1165413</xdr:colOff>
      <xdr:row>87</xdr:row>
      <xdr:rowOff>44824</xdr:rowOff>
    </xdr:to>
    <xdr:sp macro="" textlink="">
      <xdr:nvSpPr>
        <xdr:cNvPr id="1896" name="Flèche vers le bas 189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86</xdr:row>
      <xdr:rowOff>313765</xdr:rowOff>
    </xdr:from>
    <xdr:to>
      <xdr:col>0</xdr:col>
      <xdr:colOff>1165413</xdr:colOff>
      <xdr:row>87</xdr:row>
      <xdr:rowOff>44824</xdr:rowOff>
    </xdr:to>
    <xdr:sp macro="" textlink="">
      <xdr:nvSpPr>
        <xdr:cNvPr id="1897" name="Flèche vers le bas 189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86</xdr:row>
      <xdr:rowOff>313765</xdr:rowOff>
    </xdr:from>
    <xdr:to>
      <xdr:col>0</xdr:col>
      <xdr:colOff>1165413</xdr:colOff>
      <xdr:row>87</xdr:row>
      <xdr:rowOff>44824</xdr:rowOff>
    </xdr:to>
    <xdr:sp macro="" textlink="">
      <xdr:nvSpPr>
        <xdr:cNvPr id="1898" name="Flèche vers le bas 189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86</xdr:row>
      <xdr:rowOff>313765</xdr:rowOff>
    </xdr:from>
    <xdr:to>
      <xdr:col>0</xdr:col>
      <xdr:colOff>1165413</xdr:colOff>
      <xdr:row>87</xdr:row>
      <xdr:rowOff>44824</xdr:rowOff>
    </xdr:to>
    <xdr:sp macro="" textlink="">
      <xdr:nvSpPr>
        <xdr:cNvPr id="1899" name="Flèche vers le bas 189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86</xdr:row>
      <xdr:rowOff>313765</xdr:rowOff>
    </xdr:from>
    <xdr:to>
      <xdr:col>0</xdr:col>
      <xdr:colOff>1165413</xdr:colOff>
      <xdr:row>87</xdr:row>
      <xdr:rowOff>44824</xdr:rowOff>
    </xdr:to>
    <xdr:sp macro="" textlink="">
      <xdr:nvSpPr>
        <xdr:cNvPr id="1900" name="Flèche vers le bas 189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1901" name="Flèche vers le bas 190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86</xdr:row>
      <xdr:rowOff>313765</xdr:rowOff>
    </xdr:from>
    <xdr:to>
      <xdr:col>0</xdr:col>
      <xdr:colOff>1165413</xdr:colOff>
      <xdr:row>87</xdr:row>
      <xdr:rowOff>44824</xdr:rowOff>
    </xdr:to>
    <xdr:sp macro="" textlink="">
      <xdr:nvSpPr>
        <xdr:cNvPr id="1902" name="Flèche vers le bas 190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1903" name="Flèche vers le bas 190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1904" name="Flèche vers le bas 190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86</xdr:row>
      <xdr:rowOff>313765</xdr:rowOff>
    </xdr:from>
    <xdr:to>
      <xdr:col>0</xdr:col>
      <xdr:colOff>1165413</xdr:colOff>
      <xdr:row>87</xdr:row>
      <xdr:rowOff>44824</xdr:rowOff>
    </xdr:to>
    <xdr:sp macro="" textlink="">
      <xdr:nvSpPr>
        <xdr:cNvPr id="1905" name="Flèche vers le bas 1904"/>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1906" name="Flèche vers le bas 190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1907" name="Flèche vers le bas 190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1908" name="Flèche vers le bas 190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1909" name="Flèche vers le bas 190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1910" name="Flèche vers le bas 190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1911" name="Flèche vers le bas 191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1912" name="Flèche vers le bas 191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1913" name="Flèche vers le bas 191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1914" name="Flèche vers le bas 191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1915" name="Flèche vers le bas 191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1916" name="Flèche vers le bas 191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1917" name="Flèche vers le bas 1916"/>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1918" name="Flèche vers le bas 191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1919" name="Flèche vers le bas 191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1920" name="Flèche vers le bas 191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1921" name="Flèche vers le bas 192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1922" name="Flèche vers le bas 192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1923" name="Flèche vers le bas 192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1924" name="Flèche vers le bas 192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1925" name="Flèche vers le bas 192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1926" name="Flèche vers le bas 192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1927" name="Flèche vers le bas 192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1928" name="Flèche vers le bas 192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1929" name="Flèche vers le bas 1928"/>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1930" name="Flèche vers le bas 192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1931" name="Flèche vers le bas 193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1932" name="Flèche vers le bas 193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1933" name="Flèche vers le bas 193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1934" name="Flèche vers le bas 193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1935" name="Flèche vers le bas 193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1936" name="Flèche vers le bas 193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1937" name="Flèche vers le bas 193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1938" name="Flèche vers le bas 193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1939" name="Flèche vers le bas 193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1940" name="Flèche vers le bas 193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1941" name="Flèche vers le bas 1940"/>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1942" name="Flèche vers le bas 194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1943" name="Flèche vers le bas 194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1944" name="Flèche vers le bas 194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1945" name="Flèche vers le bas 194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1946" name="Flèche vers le bas 194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1947" name="Flèche vers le bas 194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1948" name="Flèche vers le bas 194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1949" name="Flèche vers le bas 194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1950" name="Flèche vers le bas 194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1951" name="Flèche vers le bas 195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1952" name="Flèche vers le bas 195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1953" name="Flèche vers le bas 1952"/>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1954" name="Flèche vers le bas 195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1955" name="Flèche vers le bas 195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1956" name="Flèche vers le bas 195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1957" name="Flèche vers le bas 195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1958" name="Flèche vers le bas 195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1959" name="Flèche vers le bas 195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1960" name="Flèche vers le bas 195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1961" name="Flèche vers le bas 196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1962" name="Flèche vers le bas 196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1963" name="Flèche vers le bas 196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1964" name="Flèche vers le bas 196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1965" name="Flèche vers le bas 1964"/>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1966" name="Flèche vers le bas 196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1967" name="Flèche vers le bas 196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1968" name="Flèche vers le bas 196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1969" name="Flèche vers le bas 196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1970" name="Flèche vers le bas 196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1971" name="Flèche vers le bas 197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1972" name="Flèche vers le bas 197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1973" name="Flèche vers le bas 197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1974" name="Flèche vers le bas 197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1975" name="Flèche vers le bas 197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1976" name="Flèche vers le bas 197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1977" name="Flèche vers le bas 1976"/>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1978" name="Flèche vers le bas 197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1979" name="Flèche vers le bas 197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1980" name="Flèche vers le bas 197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1981" name="Flèche vers le bas 198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1982" name="Flèche vers le bas 198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1983" name="Flèche vers le bas 198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1984" name="Flèche vers le bas 198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1985" name="Flèche vers le bas 198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1986" name="Flèche vers le bas 198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1987" name="Flèche vers le bas 198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1988" name="Flèche vers le bas 198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1989" name="Flèche vers le bas 1988"/>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1990" name="Flèche vers le bas 198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1991" name="Flèche vers le bas 199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1992" name="Flèche vers le bas 199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1993" name="Flèche vers le bas 199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1994" name="Flèche vers le bas 199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1995" name="Flèche vers le bas 199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1996" name="Flèche vers le bas 199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1997" name="Flèche vers le bas 199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1998" name="Flèche vers le bas 199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1999" name="Flèche vers le bas 199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2000" name="Flèche vers le bas 199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2001" name="Flèche vers le bas 2000"/>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2002" name="Flèche vers le bas 200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2003" name="Flèche vers le bas 200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2004" name="Flèche vers le bas 200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2005" name="Flèche vers le bas 200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2006" name="Flèche vers le bas 200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2007" name="Flèche vers le bas 200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2008" name="Flèche vers le bas 200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2009" name="Flèche vers le bas 200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2010" name="Flèche vers le bas 200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2011" name="Flèche vers le bas 201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2012" name="Flèche vers le bas 201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2013" name="Flèche vers le bas 2012"/>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2014" name="Flèche vers le bas 201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2015" name="Flèche vers le bas 201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2016" name="Flèche vers le bas 201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2017" name="Flèche vers le bas 201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2018" name="Flèche vers le bas 201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2019" name="Flèche vers le bas 201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2020" name="Flèche vers le bas 201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2021" name="Flèche vers le bas 202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2022" name="Flèche vers le bas 202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2023" name="Flèche vers le bas 202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2024" name="Flèche vers le bas 202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2025" name="Flèche vers le bas 2024"/>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2026" name="Flèche vers le bas 202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2027" name="Flèche vers le bas 202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2028" name="Flèche vers le bas 202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2029" name="Flèche vers le bas 202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2030" name="Flèche vers le bas 202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2031" name="Flèche vers le bas 203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2032" name="Flèche vers le bas 203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2033" name="Flèche vers le bas 203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2034" name="Flèche vers le bas 203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2035" name="Flèche vers le bas 203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2036" name="Flèche vers le bas 203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2037" name="Flèche vers le bas 2036"/>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2038" name="Flèche vers le bas 203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2039" name="Flèche vers le bas 203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2040" name="Flèche vers le bas 203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2041" name="Flèche vers le bas 204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2042" name="Flèche vers le bas 204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2043" name="Flèche vers le bas 204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2044" name="Flèche vers le bas 204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2045" name="Flèche vers le bas 204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2046" name="Flèche vers le bas 204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2047" name="Flèche vers le bas 204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2048" name="Flèche vers le bas 204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2049" name="Flèche vers le bas 2048"/>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2050" name="Flèche vers le bas 204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2051" name="Flèche vers le bas 205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2052" name="Flèche vers le bas 205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2053" name="Flèche vers le bas 205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2054" name="Flèche vers le bas 205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2055" name="Flèche vers le bas 205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2056" name="Flèche vers le bas 205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2057" name="Flèche vers le bas 205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2058" name="Flèche vers le bas 205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2059" name="Flèche vers le bas 205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2060" name="Flèche vers le bas 205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2061" name="Flèche vers le bas 2060"/>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2062" name="Flèche vers le bas 206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2063" name="Flèche vers le bas 206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2064" name="Flèche vers le bas 206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2065" name="Flèche vers le bas 206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2066" name="Flèche vers le bas 206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2067" name="Flèche vers le bas 206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2068" name="Flèche vers le bas 206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2069" name="Flèche vers le bas 206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2070" name="Flèche vers le bas 206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2071" name="Flèche vers le bas 207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2072" name="Flèche vers le bas 207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2073" name="Flèche vers le bas 2072"/>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2074" name="Flèche vers le bas 207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2075" name="Flèche vers le bas 207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2076" name="Flèche vers le bas 207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2077" name="Flèche vers le bas 207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2078" name="Flèche vers le bas 207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2079" name="Flèche vers le bas 207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2080" name="Flèche vers le bas 207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2081" name="Flèche vers le bas 208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2082" name="Flèche vers le bas 208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2083" name="Flèche vers le bas 208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2084" name="Flèche vers le bas 208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2085" name="Flèche vers le bas 2084"/>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2086" name="Flèche vers le bas 208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2087" name="Flèche vers le bas 208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2088" name="Flèche vers le bas 208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2089" name="Flèche vers le bas 208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2090" name="Flèche vers le bas 208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2091" name="Flèche vers le bas 209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2092" name="Flèche vers le bas 209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2093" name="Flèche vers le bas 209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2094" name="Flèche vers le bas 209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2095" name="Flèche vers le bas 209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2096" name="Flèche vers le bas 209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2097" name="Flèche vers le bas 2096"/>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2098" name="Flèche vers le bas 209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2099" name="Flèche vers le bas 209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2100" name="Flèche vers le bas 209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2101" name="Flèche vers le bas 210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2102" name="Flèche vers le bas 210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2103" name="Flèche vers le bas 210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2104" name="Flèche vers le bas 210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2105" name="Flèche vers le bas 210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2106" name="Flèche vers le bas 210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2107" name="Flèche vers le bas 210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2108" name="Flèche vers le bas 210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2109" name="Flèche vers le bas 2108"/>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2110" name="Flèche vers le bas 210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2111" name="Flèche vers le bas 211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2112" name="Flèche vers le bas 211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2113" name="Flèche vers le bas 211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2114" name="Flèche vers le bas 211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2115" name="Flèche vers le bas 211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2116" name="Flèche vers le bas 211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2117" name="Flèche vers le bas 211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2118" name="Flèche vers le bas 211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2119" name="Flèche vers le bas 211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2120" name="Flèche vers le bas 211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2121" name="Flèche vers le bas 2120"/>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2122" name="Flèche vers le bas 212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2123" name="Flèche vers le bas 212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2124" name="Flèche vers le bas 212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2125" name="Flèche vers le bas 212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2126" name="Flèche vers le bas 212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2127" name="Flèche vers le bas 212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2128" name="Flèche vers le bas 212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2129" name="Flèche vers le bas 212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2130" name="Flèche vers le bas 212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2131" name="Flèche vers le bas 213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2132" name="Flèche vers le bas 213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2133" name="Flèche vers le bas 2132"/>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2134" name="Flèche vers le bas 213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2135" name="Flèche vers le bas 213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2136" name="Flèche vers le bas 213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2137" name="Flèche vers le bas 213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2138" name="Flèche vers le bas 213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2139" name="Flèche vers le bas 213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2140" name="Flèche vers le bas 2139"/>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2141" name="Flèche vers le bas 214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2142" name="Flèche vers le bas 214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2143" name="Flèche vers le bas 214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2144" name="Flèche vers le bas 214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2145" name="Flèche vers le bas 2144"/>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2146" name="Flèche vers le bas 214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2147" name="Flèche vers le bas 214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2148" name="Flèche vers le bas 214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2149" name="Flèche vers le bas 214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2150" name="Flèche vers le bas 214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2151" name="Flèche vers le bas 215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2152" name="Flèche vers le bas 2151"/>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2153" name="Flèche vers le bas 215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2154" name="Flèche vers le bas 215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2155" name="Flèche vers le bas 215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2156" name="Flèche vers le bas 215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2157" name="Flèche vers le bas 2156"/>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2158" name="Flèche vers le bas 215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2159" name="Flèche vers le bas 215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2160" name="Flèche vers le bas 215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2161" name="Flèche vers le bas 216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2162" name="Flèche vers le bas 216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2163" name="Flèche vers le bas 216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2164" name="Flèche vers le bas 2163"/>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2165" name="Flèche vers le bas 216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2166" name="Flèche vers le bas 216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2167" name="Flèche vers le bas 216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2168" name="Flèche vers le bas 216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2169" name="Flèche vers le bas 2168"/>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2170" name="Flèche vers le bas 2169"/>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2171" name="Flèche vers le bas 217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2172" name="Flèche vers le bas 217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2173" name="Flèche vers le bas 2172"/>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2174" name="Flèche vers le bas 217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2175" name="Flèche vers le bas 217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2176" name="Flèche vers le bas 2175"/>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2178" name="Flèche vers le bas 2177"/>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2181" name="Flèche vers le bas 2180"/>
        <xdr:cNvSpPr/>
      </xdr:nvSpPr>
      <xdr:spPr>
        <a:xfrm>
          <a:off x="1019737" y="13329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112</xdr:row>
      <xdr:rowOff>0</xdr:rowOff>
    </xdr:from>
    <xdr:to>
      <xdr:col>0</xdr:col>
      <xdr:colOff>1165413</xdr:colOff>
      <xdr:row>112</xdr:row>
      <xdr:rowOff>44824</xdr:rowOff>
    </xdr:to>
    <xdr:sp macro="" textlink="">
      <xdr:nvSpPr>
        <xdr:cNvPr id="2189" name="Flèche vers le bas 218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112</xdr:row>
      <xdr:rowOff>0</xdr:rowOff>
    </xdr:from>
    <xdr:to>
      <xdr:col>0</xdr:col>
      <xdr:colOff>1165413</xdr:colOff>
      <xdr:row>112</xdr:row>
      <xdr:rowOff>44824</xdr:rowOff>
    </xdr:to>
    <xdr:sp macro="" textlink="">
      <xdr:nvSpPr>
        <xdr:cNvPr id="2191" name="Flèche vers le bas 2190"/>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112</xdr:row>
      <xdr:rowOff>0</xdr:rowOff>
    </xdr:from>
    <xdr:to>
      <xdr:col>0</xdr:col>
      <xdr:colOff>1165413</xdr:colOff>
      <xdr:row>112</xdr:row>
      <xdr:rowOff>44824</xdr:rowOff>
    </xdr:to>
    <xdr:sp macro="" textlink="">
      <xdr:nvSpPr>
        <xdr:cNvPr id="2192" name="Flèche vers le bas 2191"/>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112</xdr:row>
      <xdr:rowOff>0</xdr:rowOff>
    </xdr:from>
    <xdr:to>
      <xdr:col>0</xdr:col>
      <xdr:colOff>1165413</xdr:colOff>
      <xdr:row>112</xdr:row>
      <xdr:rowOff>44824</xdr:rowOff>
    </xdr:to>
    <xdr:sp macro="" textlink="">
      <xdr:nvSpPr>
        <xdr:cNvPr id="2194" name="Flèche vers le bas 2193"/>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112</xdr:row>
      <xdr:rowOff>0</xdr:rowOff>
    </xdr:from>
    <xdr:to>
      <xdr:col>0</xdr:col>
      <xdr:colOff>1165413</xdr:colOff>
      <xdr:row>112</xdr:row>
      <xdr:rowOff>44824</xdr:rowOff>
    </xdr:to>
    <xdr:sp macro="" textlink="">
      <xdr:nvSpPr>
        <xdr:cNvPr id="2195" name="Flèche vers le bas 2194"/>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112</xdr:row>
      <xdr:rowOff>0</xdr:rowOff>
    </xdr:from>
    <xdr:to>
      <xdr:col>0</xdr:col>
      <xdr:colOff>1165413</xdr:colOff>
      <xdr:row>112</xdr:row>
      <xdr:rowOff>44824</xdr:rowOff>
    </xdr:to>
    <xdr:sp macro="" textlink="">
      <xdr:nvSpPr>
        <xdr:cNvPr id="2196" name="Flèche vers le bas 2195"/>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112</xdr:row>
      <xdr:rowOff>0</xdr:rowOff>
    </xdr:from>
    <xdr:to>
      <xdr:col>0</xdr:col>
      <xdr:colOff>1165413</xdr:colOff>
      <xdr:row>112</xdr:row>
      <xdr:rowOff>44824</xdr:rowOff>
    </xdr:to>
    <xdr:sp macro="" textlink="">
      <xdr:nvSpPr>
        <xdr:cNvPr id="2197" name="Flèche vers le bas 2196"/>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112</xdr:row>
      <xdr:rowOff>0</xdr:rowOff>
    </xdr:from>
    <xdr:to>
      <xdr:col>0</xdr:col>
      <xdr:colOff>1165413</xdr:colOff>
      <xdr:row>112</xdr:row>
      <xdr:rowOff>44824</xdr:rowOff>
    </xdr:to>
    <xdr:sp macro="" textlink="">
      <xdr:nvSpPr>
        <xdr:cNvPr id="2198" name="Flèche vers le bas 2197"/>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112</xdr:row>
      <xdr:rowOff>0</xdr:rowOff>
    </xdr:from>
    <xdr:to>
      <xdr:col>0</xdr:col>
      <xdr:colOff>1165413</xdr:colOff>
      <xdr:row>112</xdr:row>
      <xdr:rowOff>44824</xdr:rowOff>
    </xdr:to>
    <xdr:sp macro="" textlink="">
      <xdr:nvSpPr>
        <xdr:cNvPr id="2199" name="Flèche vers le bas 2198"/>
        <xdr:cNvSpPr/>
      </xdr:nvSpPr>
      <xdr:spPr>
        <a:xfrm>
          <a:off x="1019737" y="1523440"/>
          <a:ext cx="145676" cy="4538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xdr:row>
      <xdr:rowOff>313765</xdr:rowOff>
    </xdr:from>
    <xdr:to>
      <xdr:col>0</xdr:col>
      <xdr:colOff>1165413</xdr:colOff>
      <xdr:row>10</xdr:row>
      <xdr:rowOff>44824</xdr:rowOff>
    </xdr:to>
    <xdr:sp macro="" textlink="">
      <xdr:nvSpPr>
        <xdr:cNvPr id="2200" name="Flèche vers le bas 219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xdr:row>
      <xdr:rowOff>313765</xdr:rowOff>
    </xdr:from>
    <xdr:to>
      <xdr:col>0</xdr:col>
      <xdr:colOff>1165413</xdr:colOff>
      <xdr:row>10</xdr:row>
      <xdr:rowOff>44824</xdr:rowOff>
    </xdr:to>
    <xdr:sp macro="" textlink="">
      <xdr:nvSpPr>
        <xdr:cNvPr id="2201" name="Flèche vers le bas 220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xdr:row>
      <xdr:rowOff>313765</xdr:rowOff>
    </xdr:from>
    <xdr:to>
      <xdr:col>0</xdr:col>
      <xdr:colOff>1165413</xdr:colOff>
      <xdr:row>10</xdr:row>
      <xdr:rowOff>44824</xdr:rowOff>
    </xdr:to>
    <xdr:sp macro="" textlink="">
      <xdr:nvSpPr>
        <xdr:cNvPr id="2202" name="Flèche vers le bas 220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xdr:row>
      <xdr:rowOff>313765</xdr:rowOff>
    </xdr:from>
    <xdr:to>
      <xdr:col>0</xdr:col>
      <xdr:colOff>1165413</xdr:colOff>
      <xdr:row>10</xdr:row>
      <xdr:rowOff>44824</xdr:rowOff>
    </xdr:to>
    <xdr:sp macro="" textlink="">
      <xdr:nvSpPr>
        <xdr:cNvPr id="2203" name="Flèche vers le bas 220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xdr:row>
      <xdr:rowOff>313765</xdr:rowOff>
    </xdr:from>
    <xdr:to>
      <xdr:col>0</xdr:col>
      <xdr:colOff>1165413</xdr:colOff>
      <xdr:row>10</xdr:row>
      <xdr:rowOff>44824</xdr:rowOff>
    </xdr:to>
    <xdr:sp macro="" textlink="">
      <xdr:nvSpPr>
        <xdr:cNvPr id="2204" name="Flèche vers le bas 220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xdr:row>
      <xdr:rowOff>313765</xdr:rowOff>
    </xdr:from>
    <xdr:to>
      <xdr:col>0</xdr:col>
      <xdr:colOff>1165413</xdr:colOff>
      <xdr:row>10</xdr:row>
      <xdr:rowOff>44824</xdr:rowOff>
    </xdr:to>
    <xdr:sp macro="" textlink="">
      <xdr:nvSpPr>
        <xdr:cNvPr id="2205" name="Flèche vers le bas 220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xdr:row>
      <xdr:rowOff>313765</xdr:rowOff>
    </xdr:from>
    <xdr:to>
      <xdr:col>0</xdr:col>
      <xdr:colOff>1165413</xdr:colOff>
      <xdr:row>10</xdr:row>
      <xdr:rowOff>44824</xdr:rowOff>
    </xdr:to>
    <xdr:sp macro="" textlink="">
      <xdr:nvSpPr>
        <xdr:cNvPr id="2206" name="Flèche vers le bas 220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xdr:row>
      <xdr:rowOff>313765</xdr:rowOff>
    </xdr:from>
    <xdr:to>
      <xdr:col>0</xdr:col>
      <xdr:colOff>1165413</xdr:colOff>
      <xdr:row>10</xdr:row>
      <xdr:rowOff>44824</xdr:rowOff>
    </xdr:to>
    <xdr:sp macro="" textlink="">
      <xdr:nvSpPr>
        <xdr:cNvPr id="2207" name="Flèche vers le bas 220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xdr:row>
      <xdr:rowOff>313765</xdr:rowOff>
    </xdr:from>
    <xdr:to>
      <xdr:col>0</xdr:col>
      <xdr:colOff>1165413</xdr:colOff>
      <xdr:row>10</xdr:row>
      <xdr:rowOff>44824</xdr:rowOff>
    </xdr:to>
    <xdr:sp macro="" textlink="">
      <xdr:nvSpPr>
        <xdr:cNvPr id="2208" name="Flèche vers le bas 220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2209" name="Flèche vers le bas 220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2210" name="Flèche vers le bas 220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2211" name="Flèche vers le bas 221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2212" name="Flèche vers le bas 221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2213" name="Flèche vers le bas 221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2214" name="Flèche vers le bas 221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2215" name="Flèche vers le bas 221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2216" name="Flèche vers le bas 221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2217" name="Flèche vers le bas 221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2218" name="Flèche vers le bas 221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2219" name="Flèche vers le bas 221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2220" name="Flèche vers le bas 221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2221" name="Flèche vers le bas 222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2222" name="Flèche vers le bas 222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2223" name="Flèche vers le bas 222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2224" name="Flèche vers le bas 222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2225" name="Flèche vers le bas 222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2226" name="Flèche vers le bas 222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2227" name="Flèche vers le bas 222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2228" name="Flèche vers le bas 222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2229" name="Flèche vers le bas 222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2230" name="Flèche vers le bas 222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2231" name="Flèche vers le bas 223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2232" name="Flèche vers le bas 223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2233" name="Flèche vers le bas 223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2234" name="Flèche vers le bas 223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2235" name="Flèche vers le bas 223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2236" name="Flèche vers le bas 223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2237" name="Flèche vers le bas 223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2238" name="Flèche vers le bas 223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2239" name="Flèche vers le bas 223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2240" name="Flèche vers le bas 223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2241" name="Flèche vers le bas 224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2242" name="Flèche vers le bas 224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2243" name="Flèche vers le bas 224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2244" name="Flèche vers le bas 224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2245" name="Flèche vers le bas 224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2246" name="Flèche vers le bas 224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2247" name="Flèche vers le bas 224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2248" name="Flèche vers le bas 224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2249" name="Flèche vers le bas 224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2250" name="Flèche vers le bas 224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2251" name="Flèche vers le bas 225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2252" name="Flèche vers le bas 225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2253" name="Flèche vers le bas 225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2254" name="Flèche vers le bas 225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2255" name="Flèche vers le bas 225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2256" name="Flèche vers le bas 225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2257" name="Flèche vers le bas 225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2258" name="Flèche vers le bas 225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2259" name="Flèche vers le bas 225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2260" name="Flèche vers le bas 225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2261" name="Flèche vers le bas 226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2262" name="Flèche vers le bas 226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2263" name="Flèche vers le bas 226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2264" name="Flèche vers le bas 226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2265" name="Flèche vers le bas 226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2266" name="Flèche vers le bas 226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2267" name="Flèche vers le bas 226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2268" name="Flèche vers le bas 226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2269" name="Flèche vers le bas 226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2270" name="Flèche vers le bas 226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2271" name="Flèche vers le bas 227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2272" name="Flèche vers le bas 227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2273" name="Flèche vers le bas 227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2274" name="Flèche vers le bas 227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2275" name="Flèche vers le bas 227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2276" name="Flèche vers le bas 227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2277" name="Flèche vers le bas 227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2278" name="Flèche vers le bas 227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2279" name="Flèche vers le bas 227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2280" name="Flèche vers le bas 227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2281" name="Flèche vers le bas 228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2282" name="Flèche vers le bas 228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2283" name="Flèche vers le bas 228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2284" name="Flèche vers le bas 228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2285" name="Flèche vers le bas 228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2286" name="Flèche vers le bas 228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2287" name="Flèche vers le bas 228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2288" name="Flèche vers le bas 228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2289" name="Flèche vers le bas 228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2290" name="Flèche vers le bas 228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2291" name="Flèche vers le bas 229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2292" name="Flèche vers le bas 229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2293" name="Flèche vers le bas 229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2294" name="Flèche vers le bas 229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2295" name="Flèche vers le bas 229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2296" name="Flèche vers le bas 229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2297" name="Flèche vers le bas 229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2298" name="Flèche vers le bas 229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2299" name="Flèche vers le bas 229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2300" name="Flèche vers le bas 229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2301" name="Flèche vers le bas 230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2302" name="Flèche vers le bas 230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2303" name="Flèche vers le bas 230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2304" name="Flèche vers le bas 230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2305" name="Flèche vers le bas 230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2306" name="Flèche vers le bas 230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2307" name="Flèche vers le bas 230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2308" name="Flèche vers le bas 230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2309" name="Flèche vers le bas 230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2310" name="Flèche vers le bas 230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2311" name="Flèche vers le bas 231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2312" name="Flèche vers le bas 231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2313" name="Flèche vers le bas 231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2314" name="Flèche vers le bas 231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2315" name="Flèche vers le bas 231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2316" name="Flèche vers le bas 231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2317" name="Flèche vers le bas 231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2318" name="Flèche vers le bas 231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2319" name="Flèche vers le bas 231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2320" name="Flèche vers le bas 231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2321" name="Flèche vers le bas 232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2322" name="Flèche vers le bas 232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2323" name="Flèche vers le bas 232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2324" name="Flèche vers le bas 232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2325" name="Flèche vers le bas 232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2326" name="Flèche vers le bas 232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2327" name="Flèche vers le bas 232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2328" name="Flèche vers le bas 232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2329" name="Flèche vers le bas 232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2330" name="Flèche vers le bas 232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2331" name="Flèche vers le bas 233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2332" name="Flèche vers le bas 233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2333" name="Flèche vers le bas 233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2334" name="Flèche vers le bas 233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2335" name="Flèche vers le bas 233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2336" name="Flèche vers le bas 233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2337" name="Flèche vers le bas 233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2338" name="Flèche vers le bas 233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2339" name="Flèche vers le bas 233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2340" name="Flèche vers le bas 233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2341" name="Flèche vers le bas 234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2342" name="Flèche vers le bas 234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2343" name="Flèche vers le bas 234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2344" name="Flèche vers le bas 234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2345" name="Flèche vers le bas 234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2346" name="Flèche vers le bas 234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2347" name="Flèche vers le bas 234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2348" name="Flèche vers le bas 234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2349" name="Flèche vers le bas 234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2350" name="Flèche vers le bas 234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2351" name="Flèche vers le bas 235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2352" name="Flèche vers le bas 235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2353" name="Flèche vers le bas 235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2354" name="Flèche vers le bas 235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2355" name="Flèche vers le bas 235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2356" name="Flèche vers le bas 235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2357" name="Flèche vers le bas 235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2358" name="Flèche vers le bas 235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2359" name="Flèche vers le bas 235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2360" name="Flèche vers le bas 235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2361" name="Flèche vers le bas 236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2362" name="Flèche vers le bas 236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2363" name="Flèche vers le bas 236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2364" name="Flèche vers le bas 236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2365" name="Flèche vers le bas 236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2366" name="Flèche vers le bas 236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2367" name="Flèche vers le bas 236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2368" name="Flèche vers le bas 236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2369" name="Flèche vers le bas 236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2370" name="Flèche vers le bas 236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2371" name="Flèche vers le bas 237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2372" name="Flèche vers le bas 237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2373" name="Flèche vers le bas 237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2374" name="Flèche vers le bas 237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2375" name="Flèche vers le bas 237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2376" name="Flèche vers le bas 237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2377" name="Flèche vers le bas 237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2378" name="Flèche vers le bas 237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2379" name="Flèche vers le bas 237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2380" name="Flèche vers le bas 237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2381" name="Flèche vers le bas 238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2382" name="Flèche vers le bas 238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2383" name="Flèche vers le bas 238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2384" name="Flèche vers le bas 238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2385" name="Flèche vers le bas 238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2386" name="Flèche vers le bas 238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2387" name="Flèche vers le bas 238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2388" name="Flèche vers le bas 238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2389" name="Flèche vers le bas 238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2390" name="Flèche vers le bas 238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2391" name="Flèche vers le bas 239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2392" name="Flèche vers le bas 239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2393" name="Flèche vers le bas 239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2394" name="Flèche vers le bas 239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2395" name="Flèche vers le bas 239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2396" name="Flèche vers le bas 239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2397" name="Flèche vers le bas 239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2398" name="Flèche vers le bas 239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2399" name="Flèche vers le bas 239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2400" name="Flèche vers le bas 239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2401" name="Flèche vers le bas 240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2402" name="Flèche vers le bas 240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2403" name="Flèche vers le bas 240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2404" name="Flèche vers le bas 240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2405" name="Flèche vers le bas 240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2406" name="Flèche vers le bas 240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2407" name="Flèche vers le bas 240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2408" name="Flèche vers le bas 240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2409" name="Flèche vers le bas 240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2410" name="Flèche vers le bas 240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2411" name="Flèche vers le bas 241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2412" name="Flèche vers le bas 241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2413" name="Flèche vers le bas 241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2414" name="Flèche vers le bas 241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2415" name="Flèche vers le bas 241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2416" name="Flèche vers le bas 241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2417" name="Flèche vers le bas 241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2418" name="Flèche vers le bas 241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2419" name="Flèche vers le bas 241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2420" name="Flèche vers le bas 241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2421" name="Flèche vers le bas 242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2422" name="Flèche vers le bas 242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2423" name="Flèche vers le bas 242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2424" name="Flèche vers le bas 242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2425" name="Flèche vers le bas 242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2426" name="Flèche vers le bas 242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2427" name="Flèche vers le bas 242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2428" name="Flèche vers le bas 242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2429" name="Flèche vers le bas 242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2430" name="Flèche vers le bas 242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2431" name="Flèche vers le bas 243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2432" name="Flèche vers le bas 243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2433" name="Flèche vers le bas 243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2434" name="Flèche vers le bas 243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2435" name="Flèche vers le bas 243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2436" name="Flèche vers le bas 243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2437" name="Flèche vers le bas 243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2438" name="Flèche vers le bas 243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2439" name="Flèche vers le bas 243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2440" name="Flèche vers le bas 243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2441" name="Flèche vers le bas 244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2442" name="Flèche vers le bas 244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2443" name="Flèche vers le bas 244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2444" name="Flèche vers le bas 244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2445" name="Flèche vers le bas 244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2446" name="Flèche vers le bas 244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2447" name="Flèche vers le bas 244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2448" name="Flèche vers le bas 244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2449" name="Flèche vers le bas 244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2450" name="Flèche vers le bas 244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2451" name="Flèche vers le bas 245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2452" name="Flèche vers le bas 245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2453" name="Flèche vers le bas 245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2454" name="Flèche vers le bas 245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2455" name="Flèche vers le bas 245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2456" name="Flèche vers le bas 245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2457" name="Flèche vers le bas 245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2458" name="Flèche vers le bas 245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2459" name="Flèche vers le bas 245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2460" name="Flèche vers le bas 245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38</xdr:row>
      <xdr:rowOff>313765</xdr:rowOff>
    </xdr:from>
    <xdr:to>
      <xdr:col>0</xdr:col>
      <xdr:colOff>1165413</xdr:colOff>
      <xdr:row>39</xdr:row>
      <xdr:rowOff>44824</xdr:rowOff>
    </xdr:to>
    <xdr:sp macro="" textlink="">
      <xdr:nvSpPr>
        <xdr:cNvPr id="2461" name="Flèche vers le bas 246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38</xdr:row>
      <xdr:rowOff>313765</xdr:rowOff>
    </xdr:from>
    <xdr:to>
      <xdr:col>0</xdr:col>
      <xdr:colOff>1165413</xdr:colOff>
      <xdr:row>39</xdr:row>
      <xdr:rowOff>44824</xdr:rowOff>
    </xdr:to>
    <xdr:sp macro="" textlink="">
      <xdr:nvSpPr>
        <xdr:cNvPr id="2462" name="Flèche vers le bas 246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38</xdr:row>
      <xdr:rowOff>313765</xdr:rowOff>
    </xdr:from>
    <xdr:to>
      <xdr:col>0</xdr:col>
      <xdr:colOff>1165413</xdr:colOff>
      <xdr:row>39</xdr:row>
      <xdr:rowOff>44824</xdr:rowOff>
    </xdr:to>
    <xdr:sp macro="" textlink="">
      <xdr:nvSpPr>
        <xdr:cNvPr id="2463" name="Flèche vers le bas 246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38</xdr:row>
      <xdr:rowOff>313765</xdr:rowOff>
    </xdr:from>
    <xdr:to>
      <xdr:col>0</xdr:col>
      <xdr:colOff>1165413</xdr:colOff>
      <xdr:row>39</xdr:row>
      <xdr:rowOff>44824</xdr:rowOff>
    </xdr:to>
    <xdr:sp macro="" textlink="">
      <xdr:nvSpPr>
        <xdr:cNvPr id="2464" name="Flèche vers le bas 246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38</xdr:row>
      <xdr:rowOff>313765</xdr:rowOff>
    </xdr:from>
    <xdr:to>
      <xdr:col>0</xdr:col>
      <xdr:colOff>1165413</xdr:colOff>
      <xdr:row>39</xdr:row>
      <xdr:rowOff>44824</xdr:rowOff>
    </xdr:to>
    <xdr:sp macro="" textlink="">
      <xdr:nvSpPr>
        <xdr:cNvPr id="2465" name="Flèche vers le bas 246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38</xdr:row>
      <xdr:rowOff>313765</xdr:rowOff>
    </xdr:from>
    <xdr:to>
      <xdr:col>0</xdr:col>
      <xdr:colOff>1165413</xdr:colOff>
      <xdr:row>39</xdr:row>
      <xdr:rowOff>44824</xdr:rowOff>
    </xdr:to>
    <xdr:sp macro="" textlink="">
      <xdr:nvSpPr>
        <xdr:cNvPr id="2466" name="Flèche vers le bas 246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38</xdr:row>
      <xdr:rowOff>313765</xdr:rowOff>
    </xdr:from>
    <xdr:to>
      <xdr:col>0</xdr:col>
      <xdr:colOff>1165413</xdr:colOff>
      <xdr:row>39</xdr:row>
      <xdr:rowOff>44824</xdr:rowOff>
    </xdr:to>
    <xdr:sp macro="" textlink="">
      <xdr:nvSpPr>
        <xdr:cNvPr id="2467" name="Flèche vers le bas 246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38</xdr:row>
      <xdr:rowOff>313765</xdr:rowOff>
    </xdr:from>
    <xdr:to>
      <xdr:col>0</xdr:col>
      <xdr:colOff>1165413</xdr:colOff>
      <xdr:row>39</xdr:row>
      <xdr:rowOff>44824</xdr:rowOff>
    </xdr:to>
    <xdr:sp macro="" textlink="">
      <xdr:nvSpPr>
        <xdr:cNvPr id="2468" name="Flèche vers le bas 246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38</xdr:row>
      <xdr:rowOff>313765</xdr:rowOff>
    </xdr:from>
    <xdr:to>
      <xdr:col>0</xdr:col>
      <xdr:colOff>1165413</xdr:colOff>
      <xdr:row>39</xdr:row>
      <xdr:rowOff>44824</xdr:rowOff>
    </xdr:to>
    <xdr:sp macro="" textlink="">
      <xdr:nvSpPr>
        <xdr:cNvPr id="2469" name="Flèche vers le bas 246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39</xdr:row>
      <xdr:rowOff>313765</xdr:rowOff>
    </xdr:from>
    <xdr:to>
      <xdr:col>0</xdr:col>
      <xdr:colOff>1165413</xdr:colOff>
      <xdr:row>40</xdr:row>
      <xdr:rowOff>44824</xdr:rowOff>
    </xdr:to>
    <xdr:sp macro="" textlink="">
      <xdr:nvSpPr>
        <xdr:cNvPr id="2470" name="Flèche vers le bas 246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39</xdr:row>
      <xdr:rowOff>313765</xdr:rowOff>
    </xdr:from>
    <xdr:to>
      <xdr:col>0</xdr:col>
      <xdr:colOff>1165413</xdr:colOff>
      <xdr:row>40</xdr:row>
      <xdr:rowOff>44824</xdr:rowOff>
    </xdr:to>
    <xdr:sp macro="" textlink="">
      <xdr:nvSpPr>
        <xdr:cNvPr id="2471" name="Flèche vers le bas 247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39</xdr:row>
      <xdr:rowOff>313765</xdr:rowOff>
    </xdr:from>
    <xdr:to>
      <xdr:col>0</xdr:col>
      <xdr:colOff>1165413</xdr:colOff>
      <xdr:row>40</xdr:row>
      <xdr:rowOff>44824</xdr:rowOff>
    </xdr:to>
    <xdr:sp macro="" textlink="">
      <xdr:nvSpPr>
        <xdr:cNvPr id="2472" name="Flèche vers le bas 247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39</xdr:row>
      <xdr:rowOff>313765</xdr:rowOff>
    </xdr:from>
    <xdr:to>
      <xdr:col>0</xdr:col>
      <xdr:colOff>1165413</xdr:colOff>
      <xdr:row>40</xdr:row>
      <xdr:rowOff>44824</xdr:rowOff>
    </xdr:to>
    <xdr:sp macro="" textlink="">
      <xdr:nvSpPr>
        <xdr:cNvPr id="2473" name="Flèche vers le bas 247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39</xdr:row>
      <xdr:rowOff>313765</xdr:rowOff>
    </xdr:from>
    <xdr:to>
      <xdr:col>0</xdr:col>
      <xdr:colOff>1165413</xdr:colOff>
      <xdr:row>40</xdr:row>
      <xdr:rowOff>44824</xdr:rowOff>
    </xdr:to>
    <xdr:sp macro="" textlink="">
      <xdr:nvSpPr>
        <xdr:cNvPr id="2474" name="Flèche vers le bas 247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39</xdr:row>
      <xdr:rowOff>313765</xdr:rowOff>
    </xdr:from>
    <xdr:to>
      <xdr:col>0</xdr:col>
      <xdr:colOff>1165413</xdr:colOff>
      <xdr:row>40</xdr:row>
      <xdr:rowOff>44824</xdr:rowOff>
    </xdr:to>
    <xdr:sp macro="" textlink="">
      <xdr:nvSpPr>
        <xdr:cNvPr id="2475" name="Flèche vers le bas 247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39</xdr:row>
      <xdr:rowOff>313765</xdr:rowOff>
    </xdr:from>
    <xdr:to>
      <xdr:col>0</xdr:col>
      <xdr:colOff>1165413</xdr:colOff>
      <xdr:row>40</xdr:row>
      <xdr:rowOff>44824</xdr:rowOff>
    </xdr:to>
    <xdr:sp macro="" textlink="">
      <xdr:nvSpPr>
        <xdr:cNvPr id="2476" name="Flèche vers le bas 247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39</xdr:row>
      <xdr:rowOff>313765</xdr:rowOff>
    </xdr:from>
    <xdr:to>
      <xdr:col>0</xdr:col>
      <xdr:colOff>1165413</xdr:colOff>
      <xdr:row>40</xdr:row>
      <xdr:rowOff>44824</xdr:rowOff>
    </xdr:to>
    <xdr:sp macro="" textlink="">
      <xdr:nvSpPr>
        <xdr:cNvPr id="2477" name="Flèche vers le bas 247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39</xdr:row>
      <xdr:rowOff>313765</xdr:rowOff>
    </xdr:from>
    <xdr:to>
      <xdr:col>0</xdr:col>
      <xdr:colOff>1165413</xdr:colOff>
      <xdr:row>40</xdr:row>
      <xdr:rowOff>44824</xdr:rowOff>
    </xdr:to>
    <xdr:sp macro="" textlink="">
      <xdr:nvSpPr>
        <xdr:cNvPr id="2478" name="Flèche vers le bas 247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40</xdr:row>
      <xdr:rowOff>313765</xdr:rowOff>
    </xdr:from>
    <xdr:to>
      <xdr:col>0</xdr:col>
      <xdr:colOff>1165413</xdr:colOff>
      <xdr:row>41</xdr:row>
      <xdr:rowOff>44824</xdr:rowOff>
    </xdr:to>
    <xdr:sp macro="" textlink="">
      <xdr:nvSpPr>
        <xdr:cNvPr id="2479" name="Flèche vers le bas 247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40</xdr:row>
      <xdr:rowOff>313765</xdr:rowOff>
    </xdr:from>
    <xdr:to>
      <xdr:col>0</xdr:col>
      <xdr:colOff>1165413</xdr:colOff>
      <xdr:row>41</xdr:row>
      <xdr:rowOff>44824</xdr:rowOff>
    </xdr:to>
    <xdr:sp macro="" textlink="">
      <xdr:nvSpPr>
        <xdr:cNvPr id="2480" name="Flèche vers le bas 247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40</xdr:row>
      <xdr:rowOff>313765</xdr:rowOff>
    </xdr:from>
    <xdr:to>
      <xdr:col>0</xdr:col>
      <xdr:colOff>1165413</xdr:colOff>
      <xdr:row>41</xdr:row>
      <xdr:rowOff>44824</xdr:rowOff>
    </xdr:to>
    <xdr:sp macro="" textlink="">
      <xdr:nvSpPr>
        <xdr:cNvPr id="2481" name="Flèche vers le bas 248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40</xdr:row>
      <xdr:rowOff>313765</xdr:rowOff>
    </xdr:from>
    <xdr:to>
      <xdr:col>0</xdr:col>
      <xdr:colOff>1165413</xdr:colOff>
      <xdr:row>41</xdr:row>
      <xdr:rowOff>44824</xdr:rowOff>
    </xdr:to>
    <xdr:sp macro="" textlink="">
      <xdr:nvSpPr>
        <xdr:cNvPr id="2482" name="Flèche vers le bas 248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40</xdr:row>
      <xdr:rowOff>313765</xdr:rowOff>
    </xdr:from>
    <xdr:to>
      <xdr:col>0</xdr:col>
      <xdr:colOff>1165413</xdr:colOff>
      <xdr:row>41</xdr:row>
      <xdr:rowOff>44824</xdr:rowOff>
    </xdr:to>
    <xdr:sp macro="" textlink="">
      <xdr:nvSpPr>
        <xdr:cNvPr id="2483" name="Flèche vers le bas 248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40</xdr:row>
      <xdr:rowOff>313765</xdr:rowOff>
    </xdr:from>
    <xdr:to>
      <xdr:col>0</xdr:col>
      <xdr:colOff>1165413</xdr:colOff>
      <xdr:row>41</xdr:row>
      <xdr:rowOff>44824</xdr:rowOff>
    </xdr:to>
    <xdr:sp macro="" textlink="">
      <xdr:nvSpPr>
        <xdr:cNvPr id="2484" name="Flèche vers le bas 248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40</xdr:row>
      <xdr:rowOff>313765</xdr:rowOff>
    </xdr:from>
    <xdr:to>
      <xdr:col>0</xdr:col>
      <xdr:colOff>1165413</xdr:colOff>
      <xdr:row>41</xdr:row>
      <xdr:rowOff>44824</xdr:rowOff>
    </xdr:to>
    <xdr:sp macro="" textlink="">
      <xdr:nvSpPr>
        <xdr:cNvPr id="2485" name="Flèche vers le bas 248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40</xdr:row>
      <xdr:rowOff>313765</xdr:rowOff>
    </xdr:from>
    <xdr:to>
      <xdr:col>0</xdr:col>
      <xdr:colOff>1165413</xdr:colOff>
      <xdr:row>41</xdr:row>
      <xdr:rowOff>44824</xdr:rowOff>
    </xdr:to>
    <xdr:sp macro="" textlink="">
      <xdr:nvSpPr>
        <xdr:cNvPr id="2486" name="Flèche vers le bas 248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40</xdr:row>
      <xdr:rowOff>313765</xdr:rowOff>
    </xdr:from>
    <xdr:to>
      <xdr:col>0</xdr:col>
      <xdr:colOff>1165413</xdr:colOff>
      <xdr:row>41</xdr:row>
      <xdr:rowOff>44824</xdr:rowOff>
    </xdr:to>
    <xdr:sp macro="" textlink="">
      <xdr:nvSpPr>
        <xdr:cNvPr id="2487" name="Flèche vers le bas 248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41</xdr:row>
      <xdr:rowOff>313765</xdr:rowOff>
    </xdr:from>
    <xdr:to>
      <xdr:col>0</xdr:col>
      <xdr:colOff>1165413</xdr:colOff>
      <xdr:row>42</xdr:row>
      <xdr:rowOff>44824</xdr:rowOff>
    </xdr:to>
    <xdr:sp macro="" textlink="">
      <xdr:nvSpPr>
        <xdr:cNvPr id="2488" name="Flèche vers le bas 248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41</xdr:row>
      <xdr:rowOff>313765</xdr:rowOff>
    </xdr:from>
    <xdr:to>
      <xdr:col>0</xdr:col>
      <xdr:colOff>1165413</xdr:colOff>
      <xdr:row>42</xdr:row>
      <xdr:rowOff>44824</xdr:rowOff>
    </xdr:to>
    <xdr:sp macro="" textlink="">
      <xdr:nvSpPr>
        <xdr:cNvPr id="2489" name="Flèche vers le bas 248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41</xdr:row>
      <xdr:rowOff>313765</xdr:rowOff>
    </xdr:from>
    <xdr:to>
      <xdr:col>0</xdr:col>
      <xdr:colOff>1165413</xdr:colOff>
      <xdr:row>42</xdr:row>
      <xdr:rowOff>44824</xdr:rowOff>
    </xdr:to>
    <xdr:sp macro="" textlink="">
      <xdr:nvSpPr>
        <xdr:cNvPr id="2490" name="Flèche vers le bas 248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41</xdr:row>
      <xdr:rowOff>313765</xdr:rowOff>
    </xdr:from>
    <xdr:to>
      <xdr:col>0</xdr:col>
      <xdr:colOff>1165413</xdr:colOff>
      <xdr:row>42</xdr:row>
      <xdr:rowOff>44824</xdr:rowOff>
    </xdr:to>
    <xdr:sp macro="" textlink="">
      <xdr:nvSpPr>
        <xdr:cNvPr id="2491" name="Flèche vers le bas 249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41</xdr:row>
      <xdr:rowOff>313765</xdr:rowOff>
    </xdr:from>
    <xdr:to>
      <xdr:col>0</xdr:col>
      <xdr:colOff>1165413</xdr:colOff>
      <xdr:row>42</xdr:row>
      <xdr:rowOff>44824</xdr:rowOff>
    </xdr:to>
    <xdr:sp macro="" textlink="">
      <xdr:nvSpPr>
        <xdr:cNvPr id="2492" name="Flèche vers le bas 249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41</xdr:row>
      <xdr:rowOff>313765</xdr:rowOff>
    </xdr:from>
    <xdr:to>
      <xdr:col>0</xdr:col>
      <xdr:colOff>1165413</xdr:colOff>
      <xdr:row>42</xdr:row>
      <xdr:rowOff>44824</xdr:rowOff>
    </xdr:to>
    <xdr:sp macro="" textlink="">
      <xdr:nvSpPr>
        <xdr:cNvPr id="2493" name="Flèche vers le bas 249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41</xdr:row>
      <xdr:rowOff>313765</xdr:rowOff>
    </xdr:from>
    <xdr:to>
      <xdr:col>0</xdr:col>
      <xdr:colOff>1165413</xdr:colOff>
      <xdr:row>42</xdr:row>
      <xdr:rowOff>44824</xdr:rowOff>
    </xdr:to>
    <xdr:sp macro="" textlink="">
      <xdr:nvSpPr>
        <xdr:cNvPr id="2494" name="Flèche vers le bas 249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41</xdr:row>
      <xdr:rowOff>313765</xdr:rowOff>
    </xdr:from>
    <xdr:to>
      <xdr:col>0</xdr:col>
      <xdr:colOff>1165413</xdr:colOff>
      <xdr:row>42</xdr:row>
      <xdr:rowOff>44824</xdr:rowOff>
    </xdr:to>
    <xdr:sp macro="" textlink="">
      <xdr:nvSpPr>
        <xdr:cNvPr id="2495" name="Flèche vers le bas 249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41</xdr:row>
      <xdr:rowOff>313765</xdr:rowOff>
    </xdr:from>
    <xdr:to>
      <xdr:col>0</xdr:col>
      <xdr:colOff>1165413</xdr:colOff>
      <xdr:row>42</xdr:row>
      <xdr:rowOff>44824</xdr:rowOff>
    </xdr:to>
    <xdr:sp macro="" textlink="">
      <xdr:nvSpPr>
        <xdr:cNvPr id="2496" name="Flèche vers le bas 249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42</xdr:row>
      <xdr:rowOff>313765</xdr:rowOff>
    </xdr:from>
    <xdr:to>
      <xdr:col>0</xdr:col>
      <xdr:colOff>1165413</xdr:colOff>
      <xdr:row>43</xdr:row>
      <xdr:rowOff>44824</xdr:rowOff>
    </xdr:to>
    <xdr:sp macro="" textlink="">
      <xdr:nvSpPr>
        <xdr:cNvPr id="2497" name="Flèche vers le bas 249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42</xdr:row>
      <xdr:rowOff>313765</xdr:rowOff>
    </xdr:from>
    <xdr:to>
      <xdr:col>0</xdr:col>
      <xdr:colOff>1165413</xdr:colOff>
      <xdr:row>43</xdr:row>
      <xdr:rowOff>44824</xdr:rowOff>
    </xdr:to>
    <xdr:sp macro="" textlink="">
      <xdr:nvSpPr>
        <xdr:cNvPr id="2498" name="Flèche vers le bas 249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42</xdr:row>
      <xdr:rowOff>313765</xdr:rowOff>
    </xdr:from>
    <xdr:to>
      <xdr:col>0</xdr:col>
      <xdr:colOff>1165413</xdr:colOff>
      <xdr:row>43</xdr:row>
      <xdr:rowOff>44824</xdr:rowOff>
    </xdr:to>
    <xdr:sp macro="" textlink="">
      <xdr:nvSpPr>
        <xdr:cNvPr id="2499" name="Flèche vers le bas 249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42</xdr:row>
      <xdr:rowOff>313765</xdr:rowOff>
    </xdr:from>
    <xdr:to>
      <xdr:col>0</xdr:col>
      <xdr:colOff>1165413</xdr:colOff>
      <xdr:row>43</xdr:row>
      <xdr:rowOff>44824</xdr:rowOff>
    </xdr:to>
    <xdr:sp macro="" textlink="">
      <xdr:nvSpPr>
        <xdr:cNvPr id="2500" name="Flèche vers le bas 249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42</xdr:row>
      <xdr:rowOff>313765</xdr:rowOff>
    </xdr:from>
    <xdr:to>
      <xdr:col>0</xdr:col>
      <xdr:colOff>1165413</xdr:colOff>
      <xdr:row>43</xdr:row>
      <xdr:rowOff>44824</xdr:rowOff>
    </xdr:to>
    <xdr:sp macro="" textlink="">
      <xdr:nvSpPr>
        <xdr:cNvPr id="2501" name="Flèche vers le bas 250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42</xdr:row>
      <xdr:rowOff>313765</xdr:rowOff>
    </xdr:from>
    <xdr:to>
      <xdr:col>0</xdr:col>
      <xdr:colOff>1165413</xdr:colOff>
      <xdr:row>43</xdr:row>
      <xdr:rowOff>44824</xdr:rowOff>
    </xdr:to>
    <xdr:sp macro="" textlink="">
      <xdr:nvSpPr>
        <xdr:cNvPr id="2502" name="Flèche vers le bas 250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42</xdr:row>
      <xdr:rowOff>313765</xdr:rowOff>
    </xdr:from>
    <xdr:to>
      <xdr:col>0</xdr:col>
      <xdr:colOff>1165413</xdr:colOff>
      <xdr:row>43</xdr:row>
      <xdr:rowOff>44824</xdr:rowOff>
    </xdr:to>
    <xdr:sp macro="" textlink="">
      <xdr:nvSpPr>
        <xdr:cNvPr id="2503" name="Flèche vers le bas 250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42</xdr:row>
      <xdr:rowOff>313765</xdr:rowOff>
    </xdr:from>
    <xdr:to>
      <xdr:col>0</xdr:col>
      <xdr:colOff>1165413</xdr:colOff>
      <xdr:row>43</xdr:row>
      <xdr:rowOff>44824</xdr:rowOff>
    </xdr:to>
    <xdr:sp macro="" textlink="">
      <xdr:nvSpPr>
        <xdr:cNvPr id="2504" name="Flèche vers le bas 250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42</xdr:row>
      <xdr:rowOff>313765</xdr:rowOff>
    </xdr:from>
    <xdr:to>
      <xdr:col>0</xdr:col>
      <xdr:colOff>1165413</xdr:colOff>
      <xdr:row>43</xdr:row>
      <xdr:rowOff>44824</xdr:rowOff>
    </xdr:to>
    <xdr:sp macro="" textlink="">
      <xdr:nvSpPr>
        <xdr:cNvPr id="2505" name="Flèche vers le bas 250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43</xdr:row>
      <xdr:rowOff>313765</xdr:rowOff>
    </xdr:from>
    <xdr:to>
      <xdr:col>0</xdr:col>
      <xdr:colOff>1165413</xdr:colOff>
      <xdr:row>44</xdr:row>
      <xdr:rowOff>44824</xdr:rowOff>
    </xdr:to>
    <xdr:sp macro="" textlink="">
      <xdr:nvSpPr>
        <xdr:cNvPr id="2506" name="Flèche vers le bas 250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43</xdr:row>
      <xdr:rowOff>313765</xdr:rowOff>
    </xdr:from>
    <xdr:to>
      <xdr:col>0</xdr:col>
      <xdr:colOff>1165413</xdr:colOff>
      <xdr:row>44</xdr:row>
      <xdr:rowOff>44824</xdr:rowOff>
    </xdr:to>
    <xdr:sp macro="" textlink="">
      <xdr:nvSpPr>
        <xdr:cNvPr id="2507" name="Flèche vers le bas 250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43</xdr:row>
      <xdr:rowOff>313765</xdr:rowOff>
    </xdr:from>
    <xdr:to>
      <xdr:col>0</xdr:col>
      <xdr:colOff>1165413</xdr:colOff>
      <xdr:row>44</xdr:row>
      <xdr:rowOff>44824</xdr:rowOff>
    </xdr:to>
    <xdr:sp macro="" textlink="">
      <xdr:nvSpPr>
        <xdr:cNvPr id="2508" name="Flèche vers le bas 250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43</xdr:row>
      <xdr:rowOff>313765</xdr:rowOff>
    </xdr:from>
    <xdr:to>
      <xdr:col>0</xdr:col>
      <xdr:colOff>1165413</xdr:colOff>
      <xdr:row>44</xdr:row>
      <xdr:rowOff>44824</xdr:rowOff>
    </xdr:to>
    <xdr:sp macro="" textlink="">
      <xdr:nvSpPr>
        <xdr:cNvPr id="2509" name="Flèche vers le bas 250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43</xdr:row>
      <xdr:rowOff>313765</xdr:rowOff>
    </xdr:from>
    <xdr:to>
      <xdr:col>0</xdr:col>
      <xdr:colOff>1165413</xdr:colOff>
      <xdr:row>44</xdr:row>
      <xdr:rowOff>44824</xdr:rowOff>
    </xdr:to>
    <xdr:sp macro="" textlink="">
      <xdr:nvSpPr>
        <xdr:cNvPr id="2510" name="Flèche vers le bas 250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43</xdr:row>
      <xdr:rowOff>313765</xdr:rowOff>
    </xdr:from>
    <xdr:to>
      <xdr:col>0</xdr:col>
      <xdr:colOff>1165413</xdr:colOff>
      <xdr:row>44</xdr:row>
      <xdr:rowOff>44824</xdr:rowOff>
    </xdr:to>
    <xdr:sp macro="" textlink="">
      <xdr:nvSpPr>
        <xdr:cNvPr id="2511" name="Flèche vers le bas 251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43</xdr:row>
      <xdr:rowOff>313765</xdr:rowOff>
    </xdr:from>
    <xdr:to>
      <xdr:col>0</xdr:col>
      <xdr:colOff>1165413</xdr:colOff>
      <xdr:row>44</xdr:row>
      <xdr:rowOff>44824</xdr:rowOff>
    </xdr:to>
    <xdr:sp macro="" textlink="">
      <xdr:nvSpPr>
        <xdr:cNvPr id="2512" name="Flèche vers le bas 251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43</xdr:row>
      <xdr:rowOff>313765</xdr:rowOff>
    </xdr:from>
    <xdr:to>
      <xdr:col>0</xdr:col>
      <xdr:colOff>1165413</xdr:colOff>
      <xdr:row>44</xdr:row>
      <xdr:rowOff>44824</xdr:rowOff>
    </xdr:to>
    <xdr:sp macro="" textlink="">
      <xdr:nvSpPr>
        <xdr:cNvPr id="2513" name="Flèche vers le bas 251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43</xdr:row>
      <xdr:rowOff>313765</xdr:rowOff>
    </xdr:from>
    <xdr:to>
      <xdr:col>0</xdr:col>
      <xdr:colOff>1165413</xdr:colOff>
      <xdr:row>44</xdr:row>
      <xdr:rowOff>44824</xdr:rowOff>
    </xdr:to>
    <xdr:sp macro="" textlink="">
      <xdr:nvSpPr>
        <xdr:cNvPr id="2514" name="Flèche vers le bas 251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44</xdr:row>
      <xdr:rowOff>313765</xdr:rowOff>
    </xdr:from>
    <xdr:to>
      <xdr:col>0</xdr:col>
      <xdr:colOff>1165413</xdr:colOff>
      <xdr:row>45</xdr:row>
      <xdr:rowOff>44824</xdr:rowOff>
    </xdr:to>
    <xdr:sp macro="" textlink="">
      <xdr:nvSpPr>
        <xdr:cNvPr id="2515" name="Flèche vers le bas 251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44</xdr:row>
      <xdr:rowOff>313765</xdr:rowOff>
    </xdr:from>
    <xdr:to>
      <xdr:col>0</xdr:col>
      <xdr:colOff>1165413</xdr:colOff>
      <xdr:row>45</xdr:row>
      <xdr:rowOff>44824</xdr:rowOff>
    </xdr:to>
    <xdr:sp macro="" textlink="">
      <xdr:nvSpPr>
        <xdr:cNvPr id="2516" name="Flèche vers le bas 251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44</xdr:row>
      <xdr:rowOff>313765</xdr:rowOff>
    </xdr:from>
    <xdr:to>
      <xdr:col>0</xdr:col>
      <xdr:colOff>1165413</xdr:colOff>
      <xdr:row>45</xdr:row>
      <xdr:rowOff>44824</xdr:rowOff>
    </xdr:to>
    <xdr:sp macro="" textlink="">
      <xdr:nvSpPr>
        <xdr:cNvPr id="2517" name="Flèche vers le bas 251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44</xdr:row>
      <xdr:rowOff>313765</xdr:rowOff>
    </xdr:from>
    <xdr:to>
      <xdr:col>0</xdr:col>
      <xdr:colOff>1165413</xdr:colOff>
      <xdr:row>45</xdr:row>
      <xdr:rowOff>44824</xdr:rowOff>
    </xdr:to>
    <xdr:sp macro="" textlink="">
      <xdr:nvSpPr>
        <xdr:cNvPr id="2518" name="Flèche vers le bas 251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44</xdr:row>
      <xdr:rowOff>313765</xdr:rowOff>
    </xdr:from>
    <xdr:to>
      <xdr:col>0</xdr:col>
      <xdr:colOff>1165413</xdr:colOff>
      <xdr:row>45</xdr:row>
      <xdr:rowOff>44824</xdr:rowOff>
    </xdr:to>
    <xdr:sp macro="" textlink="">
      <xdr:nvSpPr>
        <xdr:cNvPr id="2519" name="Flèche vers le bas 251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44</xdr:row>
      <xdr:rowOff>313765</xdr:rowOff>
    </xdr:from>
    <xdr:to>
      <xdr:col>0</xdr:col>
      <xdr:colOff>1165413</xdr:colOff>
      <xdr:row>45</xdr:row>
      <xdr:rowOff>44824</xdr:rowOff>
    </xdr:to>
    <xdr:sp macro="" textlink="">
      <xdr:nvSpPr>
        <xdr:cNvPr id="2520" name="Flèche vers le bas 251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44</xdr:row>
      <xdr:rowOff>313765</xdr:rowOff>
    </xdr:from>
    <xdr:to>
      <xdr:col>0</xdr:col>
      <xdr:colOff>1165413</xdr:colOff>
      <xdr:row>45</xdr:row>
      <xdr:rowOff>44824</xdr:rowOff>
    </xdr:to>
    <xdr:sp macro="" textlink="">
      <xdr:nvSpPr>
        <xdr:cNvPr id="2521" name="Flèche vers le bas 252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44</xdr:row>
      <xdr:rowOff>313765</xdr:rowOff>
    </xdr:from>
    <xdr:to>
      <xdr:col>0</xdr:col>
      <xdr:colOff>1165413</xdr:colOff>
      <xdr:row>45</xdr:row>
      <xdr:rowOff>44824</xdr:rowOff>
    </xdr:to>
    <xdr:sp macro="" textlink="">
      <xdr:nvSpPr>
        <xdr:cNvPr id="2522" name="Flèche vers le bas 252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44</xdr:row>
      <xdr:rowOff>313765</xdr:rowOff>
    </xdr:from>
    <xdr:to>
      <xdr:col>0</xdr:col>
      <xdr:colOff>1165413</xdr:colOff>
      <xdr:row>45</xdr:row>
      <xdr:rowOff>44824</xdr:rowOff>
    </xdr:to>
    <xdr:sp macro="" textlink="">
      <xdr:nvSpPr>
        <xdr:cNvPr id="2523" name="Flèche vers le bas 252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45</xdr:row>
      <xdr:rowOff>313765</xdr:rowOff>
    </xdr:from>
    <xdr:to>
      <xdr:col>0</xdr:col>
      <xdr:colOff>1165413</xdr:colOff>
      <xdr:row>46</xdr:row>
      <xdr:rowOff>44824</xdr:rowOff>
    </xdr:to>
    <xdr:sp macro="" textlink="">
      <xdr:nvSpPr>
        <xdr:cNvPr id="2524" name="Flèche vers le bas 252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45</xdr:row>
      <xdr:rowOff>313765</xdr:rowOff>
    </xdr:from>
    <xdr:to>
      <xdr:col>0</xdr:col>
      <xdr:colOff>1165413</xdr:colOff>
      <xdr:row>46</xdr:row>
      <xdr:rowOff>44824</xdr:rowOff>
    </xdr:to>
    <xdr:sp macro="" textlink="">
      <xdr:nvSpPr>
        <xdr:cNvPr id="2525" name="Flèche vers le bas 252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45</xdr:row>
      <xdr:rowOff>313765</xdr:rowOff>
    </xdr:from>
    <xdr:to>
      <xdr:col>0</xdr:col>
      <xdr:colOff>1165413</xdr:colOff>
      <xdr:row>46</xdr:row>
      <xdr:rowOff>44824</xdr:rowOff>
    </xdr:to>
    <xdr:sp macro="" textlink="">
      <xdr:nvSpPr>
        <xdr:cNvPr id="2526" name="Flèche vers le bas 252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45</xdr:row>
      <xdr:rowOff>313765</xdr:rowOff>
    </xdr:from>
    <xdr:to>
      <xdr:col>0</xdr:col>
      <xdr:colOff>1165413</xdr:colOff>
      <xdr:row>46</xdr:row>
      <xdr:rowOff>44824</xdr:rowOff>
    </xdr:to>
    <xdr:sp macro="" textlink="">
      <xdr:nvSpPr>
        <xdr:cNvPr id="2527" name="Flèche vers le bas 252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45</xdr:row>
      <xdr:rowOff>313765</xdr:rowOff>
    </xdr:from>
    <xdr:to>
      <xdr:col>0</xdr:col>
      <xdr:colOff>1165413</xdr:colOff>
      <xdr:row>46</xdr:row>
      <xdr:rowOff>44824</xdr:rowOff>
    </xdr:to>
    <xdr:sp macro="" textlink="">
      <xdr:nvSpPr>
        <xdr:cNvPr id="2528" name="Flèche vers le bas 252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45</xdr:row>
      <xdr:rowOff>313765</xdr:rowOff>
    </xdr:from>
    <xdr:to>
      <xdr:col>0</xdr:col>
      <xdr:colOff>1165413</xdr:colOff>
      <xdr:row>46</xdr:row>
      <xdr:rowOff>44824</xdr:rowOff>
    </xdr:to>
    <xdr:sp macro="" textlink="">
      <xdr:nvSpPr>
        <xdr:cNvPr id="2529" name="Flèche vers le bas 252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45</xdr:row>
      <xdr:rowOff>313765</xdr:rowOff>
    </xdr:from>
    <xdr:to>
      <xdr:col>0</xdr:col>
      <xdr:colOff>1165413</xdr:colOff>
      <xdr:row>46</xdr:row>
      <xdr:rowOff>44824</xdr:rowOff>
    </xdr:to>
    <xdr:sp macro="" textlink="">
      <xdr:nvSpPr>
        <xdr:cNvPr id="2530" name="Flèche vers le bas 252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45</xdr:row>
      <xdr:rowOff>313765</xdr:rowOff>
    </xdr:from>
    <xdr:to>
      <xdr:col>0</xdr:col>
      <xdr:colOff>1165413</xdr:colOff>
      <xdr:row>46</xdr:row>
      <xdr:rowOff>44824</xdr:rowOff>
    </xdr:to>
    <xdr:sp macro="" textlink="">
      <xdr:nvSpPr>
        <xdr:cNvPr id="2531" name="Flèche vers le bas 253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45</xdr:row>
      <xdr:rowOff>313765</xdr:rowOff>
    </xdr:from>
    <xdr:to>
      <xdr:col>0</xdr:col>
      <xdr:colOff>1165413</xdr:colOff>
      <xdr:row>46</xdr:row>
      <xdr:rowOff>44824</xdr:rowOff>
    </xdr:to>
    <xdr:sp macro="" textlink="">
      <xdr:nvSpPr>
        <xdr:cNvPr id="2532" name="Flèche vers le bas 253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46</xdr:row>
      <xdr:rowOff>313765</xdr:rowOff>
    </xdr:from>
    <xdr:to>
      <xdr:col>0</xdr:col>
      <xdr:colOff>1165413</xdr:colOff>
      <xdr:row>47</xdr:row>
      <xdr:rowOff>44824</xdr:rowOff>
    </xdr:to>
    <xdr:sp macro="" textlink="">
      <xdr:nvSpPr>
        <xdr:cNvPr id="2533" name="Flèche vers le bas 253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46</xdr:row>
      <xdr:rowOff>313765</xdr:rowOff>
    </xdr:from>
    <xdr:to>
      <xdr:col>0</xdr:col>
      <xdr:colOff>1165413</xdr:colOff>
      <xdr:row>47</xdr:row>
      <xdr:rowOff>44824</xdr:rowOff>
    </xdr:to>
    <xdr:sp macro="" textlink="">
      <xdr:nvSpPr>
        <xdr:cNvPr id="2534" name="Flèche vers le bas 253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46</xdr:row>
      <xdr:rowOff>313765</xdr:rowOff>
    </xdr:from>
    <xdr:to>
      <xdr:col>0</xdr:col>
      <xdr:colOff>1165413</xdr:colOff>
      <xdr:row>47</xdr:row>
      <xdr:rowOff>44824</xdr:rowOff>
    </xdr:to>
    <xdr:sp macro="" textlink="">
      <xdr:nvSpPr>
        <xdr:cNvPr id="2535" name="Flèche vers le bas 253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46</xdr:row>
      <xdr:rowOff>313765</xdr:rowOff>
    </xdr:from>
    <xdr:to>
      <xdr:col>0</xdr:col>
      <xdr:colOff>1165413</xdr:colOff>
      <xdr:row>47</xdr:row>
      <xdr:rowOff>44824</xdr:rowOff>
    </xdr:to>
    <xdr:sp macro="" textlink="">
      <xdr:nvSpPr>
        <xdr:cNvPr id="2536" name="Flèche vers le bas 253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46</xdr:row>
      <xdr:rowOff>313765</xdr:rowOff>
    </xdr:from>
    <xdr:to>
      <xdr:col>0</xdr:col>
      <xdr:colOff>1165413</xdr:colOff>
      <xdr:row>47</xdr:row>
      <xdr:rowOff>44824</xdr:rowOff>
    </xdr:to>
    <xdr:sp macro="" textlink="">
      <xdr:nvSpPr>
        <xdr:cNvPr id="2537" name="Flèche vers le bas 253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46</xdr:row>
      <xdr:rowOff>313765</xdr:rowOff>
    </xdr:from>
    <xdr:to>
      <xdr:col>0</xdr:col>
      <xdr:colOff>1165413</xdr:colOff>
      <xdr:row>47</xdr:row>
      <xdr:rowOff>44824</xdr:rowOff>
    </xdr:to>
    <xdr:sp macro="" textlink="">
      <xdr:nvSpPr>
        <xdr:cNvPr id="2538" name="Flèche vers le bas 253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46</xdr:row>
      <xdr:rowOff>313765</xdr:rowOff>
    </xdr:from>
    <xdr:to>
      <xdr:col>0</xdr:col>
      <xdr:colOff>1165413</xdr:colOff>
      <xdr:row>47</xdr:row>
      <xdr:rowOff>44824</xdr:rowOff>
    </xdr:to>
    <xdr:sp macro="" textlink="">
      <xdr:nvSpPr>
        <xdr:cNvPr id="2539" name="Flèche vers le bas 253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46</xdr:row>
      <xdr:rowOff>313765</xdr:rowOff>
    </xdr:from>
    <xdr:to>
      <xdr:col>0</xdr:col>
      <xdr:colOff>1165413</xdr:colOff>
      <xdr:row>47</xdr:row>
      <xdr:rowOff>44824</xdr:rowOff>
    </xdr:to>
    <xdr:sp macro="" textlink="">
      <xdr:nvSpPr>
        <xdr:cNvPr id="2540" name="Flèche vers le bas 253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46</xdr:row>
      <xdr:rowOff>313765</xdr:rowOff>
    </xdr:from>
    <xdr:to>
      <xdr:col>0</xdr:col>
      <xdr:colOff>1165413</xdr:colOff>
      <xdr:row>47</xdr:row>
      <xdr:rowOff>44824</xdr:rowOff>
    </xdr:to>
    <xdr:sp macro="" textlink="">
      <xdr:nvSpPr>
        <xdr:cNvPr id="2541" name="Flèche vers le bas 254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47</xdr:row>
      <xdr:rowOff>313765</xdr:rowOff>
    </xdr:from>
    <xdr:to>
      <xdr:col>0</xdr:col>
      <xdr:colOff>1165413</xdr:colOff>
      <xdr:row>48</xdr:row>
      <xdr:rowOff>44824</xdr:rowOff>
    </xdr:to>
    <xdr:sp macro="" textlink="">
      <xdr:nvSpPr>
        <xdr:cNvPr id="2542" name="Flèche vers le bas 254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47</xdr:row>
      <xdr:rowOff>313765</xdr:rowOff>
    </xdr:from>
    <xdr:to>
      <xdr:col>0</xdr:col>
      <xdr:colOff>1165413</xdr:colOff>
      <xdr:row>48</xdr:row>
      <xdr:rowOff>44824</xdr:rowOff>
    </xdr:to>
    <xdr:sp macro="" textlink="">
      <xdr:nvSpPr>
        <xdr:cNvPr id="2543" name="Flèche vers le bas 254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47</xdr:row>
      <xdr:rowOff>313765</xdr:rowOff>
    </xdr:from>
    <xdr:to>
      <xdr:col>0</xdr:col>
      <xdr:colOff>1165413</xdr:colOff>
      <xdr:row>48</xdr:row>
      <xdr:rowOff>44824</xdr:rowOff>
    </xdr:to>
    <xdr:sp macro="" textlink="">
      <xdr:nvSpPr>
        <xdr:cNvPr id="2544" name="Flèche vers le bas 254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47</xdr:row>
      <xdr:rowOff>313765</xdr:rowOff>
    </xdr:from>
    <xdr:to>
      <xdr:col>0</xdr:col>
      <xdr:colOff>1165413</xdr:colOff>
      <xdr:row>48</xdr:row>
      <xdr:rowOff>44824</xdr:rowOff>
    </xdr:to>
    <xdr:sp macro="" textlink="">
      <xdr:nvSpPr>
        <xdr:cNvPr id="2545" name="Flèche vers le bas 254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47</xdr:row>
      <xdr:rowOff>313765</xdr:rowOff>
    </xdr:from>
    <xdr:to>
      <xdr:col>0</xdr:col>
      <xdr:colOff>1165413</xdr:colOff>
      <xdr:row>48</xdr:row>
      <xdr:rowOff>44824</xdr:rowOff>
    </xdr:to>
    <xdr:sp macro="" textlink="">
      <xdr:nvSpPr>
        <xdr:cNvPr id="2546" name="Flèche vers le bas 254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47</xdr:row>
      <xdr:rowOff>313765</xdr:rowOff>
    </xdr:from>
    <xdr:to>
      <xdr:col>0</xdr:col>
      <xdr:colOff>1165413</xdr:colOff>
      <xdr:row>48</xdr:row>
      <xdr:rowOff>44824</xdr:rowOff>
    </xdr:to>
    <xdr:sp macro="" textlink="">
      <xdr:nvSpPr>
        <xdr:cNvPr id="2547" name="Flèche vers le bas 254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47</xdr:row>
      <xdr:rowOff>313765</xdr:rowOff>
    </xdr:from>
    <xdr:to>
      <xdr:col>0</xdr:col>
      <xdr:colOff>1165413</xdr:colOff>
      <xdr:row>48</xdr:row>
      <xdr:rowOff>44824</xdr:rowOff>
    </xdr:to>
    <xdr:sp macro="" textlink="">
      <xdr:nvSpPr>
        <xdr:cNvPr id="2548" name="Flèche vers le bas 254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47</xdr:row>
      <xdr:rowOff>313765</xdr:rowOff>
    </xdr:from>
    <xdr:to>
      <xdr:col>0</xdr:col>
      <xdr:colOff>1165413</xdr:colOff>
      <xdr:row>48</xdr:row>
      <xdr:rowOff>44824</xdr:rowOff>
    </xdr:to>
    <xdr:sp macro="" textlink="">
      <xdr:nvSpPr>
        <xdr:cNvPr id="2549" name="Flèche vers le bas 254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47</xdr:row>
      <xdr:rowOff>313765</xdr:rowOff>
    </xdr:from>
    <xdr:to>
      <xdr:col>0</xdr:col>
      <xdr:colOff>1165413</xdr:colOff>
      <xdr:row>48</xdr:row>
      <xdr:rowOff>44824</xdr:rowOff>
    </xdr:to>
    <xdr:sp macro="" textlink="">
      <xdr:nvSpPr>
        <xdr:cNvPr id="2550" name="Flèche vers le bas 254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48</xdr:row>
      <xdr:rowOff>313765</xdr:rowOff>
    </xdr:from>
    <xdr:to>
      <xdr:col>0</xdr:col>
      <xdr:colOff>1165413</xdr:colOff>
      <xdr:row>49</xdr:row>
      <xdr:rowOff>44824</xdr:rowOff>
    </xdr:to>
    <xdr:sp macro="" textlink="">
      <xdr:nvSpPr>
        <xdr:cNvPr id="2551" name="Flèche vers le bas 255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48</xdr:row>
      <xdr:rowOff>313765</xdr:rowOff>
    </xdr:from>
    <xdr:to>
      <xdr:col>0</xdr:col>
      <xdr:colOff>1165413</xdr:colOff>
      <xdr:row>49</xdr:row>
      <xdr:rowOff>44824</xdr:rowOff>
    </xdr:to>
    <xdr:sp macro="" textlink="">
      <xdr:nvSpPr>
        <xdr:cNvPr id="2552" name="Flèche vers le bas 255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48</xdr:row>
      <xdr:rowOff>313765</xdr:rowOff>
    </xdr:from>
    <xdr:to>
      <xdr:col>0</xdr:col>
      <xdr:colOff>1165413</xdr:colOff>
      <xdr:row>49</xdr:row>
      <xdr:rowOff>44824</xdr:rowOff>
    </xdr:to>
    <xdr:sp macro="" textlink="">
      <xdr:nvSpPr>
        <xdr:cNvPr id="2553" name="Flèche vers le bas 255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48</xdr:row>
      <xdr:rowOff>313765</xdr:rowOff>
    </xdr:from>
    <xdr:to>
      <xdr:col>0</xdr:col>
      <xdr:colOff>1165413</xdr:colOff>
      <xdr:row>49</xdr:row>
      <xdr:rowOff>44824</xdr:rowOff>
    </xdr:to>
    <xdr:sp macro="" textlink="">
      <xdr:nvSpPr>
        <xdr:cNvPr id="2554" name="Flèche vers le bas 255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48</xdr:row>
      <xdr:rowOff>313765</xdr:rowOff>
    </xdr:from>
    <xdr:to>
      <xdr:col>0</xdr:col>
      <xdr:colOff>1165413</xdr:colOff>
      <xdr:row>49</xdr:row>
      <xdr:rowOff>44824</xdr:rowOff>
    </xdr:to>
    <xdr:sp macro="" textlink="">
      <xdr:nvSpPr>
        <xdr:cNvPr id="2555" name="Flèche vers le bas 255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48</xdr:row>
      <xdr:rowOff>313765</xdr:rowOff>
    </xdr:from>
    <xdr:to>
      <xdr:col>0</xdr:col>
      <xdr:colOff>1165413</xdr:colOff>
      <xdr:row>49</xdr:row>
      <xdr:rowOff>44824</xdr:rowOff>
    </xdr:to>
    <xdr:sp macro="" textlink="">
      <xdr:nvSpPr>
        <xdr:cNvPr id="2556" name="Flèche vers le bas 255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48</xdr:row>
      <xdr:rowOff>313765</xdr:rowOff>
    </xdr:from>
    <xdr:to>
      <xdr:col>0</xdr:col>
      <xdr:colOff>1165413</xdr:colOff>
      <xdr:row>49</xdr:row>
      <xdr:rowOff>44824</xdr:rowOff>
    </xdr:to>
    <xdr:sp macro="" textlink="">
      <xdr:nvSpPr>
        <xdr:cNvPr id="2557" name="Flèche vers le bas 255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48</xdr:row>
      <xdr:rowOff>313765</xdr:rowOff>
    </xdr:from>
    <xdr:to>
      <xdr:col>0</xdr:col>
      <xdr:colOff>1165413</xdr:colOff>
      <xdr:row>49</xdr:row>
      <xdr:rowOff>44824</xdr:rowOff>
    </xdr:to>
    <xdr:sp macro="" textlink="">
      <xdr:nvSpPr>
        <xdr:cNvPr id="2558" name="Flèche vers le bas 255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48</xdr:row>
      <xdr:rowOff>313765</xdr:rowOff>
    </xdr:from>
    <xdr:to>
      <xdr:col>0</xdr:col>
      <xdr:colOff>1165413</xdr:colOff>
      <xdr:row>49</xdr:row>
      <xdr:rowOff>44824</xdr:rowOff>
    </xdr:to>
    <xdr:sp macro="" textlink="">
      <xdr:nvSpPr>
        <xdr:cNvPr id="2559" name="Flèche vers le bas 255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49</xdr:row>
      <xdr:rowOff>313765</xdr:rowOff>
    </xdr:from>
    <xdr:to>
      <xdr:col>0</xdr:col>
      <xdr:colOff>1165413</xdr:colOff>
      <xdr:row>50</xdr:row>
      <xdr:rowOff>44824</xdr:rowOff>
    </xdr:to>
    <xdr:sp macro="" textlink="">
      <xdr:nvSpPr>
        <xdr:cNvPr id="2560" name="Flèche vers le bas 255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49</xdr:row>
      <xdr:rowOff>313765</xdr:rowOff>
    </xdr:from>
    <xdr:to>
      <xdr:col>0</xdr:col>
      <xdr:colOff>1165413</xdr:colOff>
      <xdr:row>50</xdr:row>
      <xdr:rowOff>44824</xdr:rowOff>
    </xdr:to>
    <xdr:sp macro="" textlink="">
      <xdr:nvSpPr>
        <xdr:cNvPr id="2561" name="Flèche vers le bas 256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49</xdr:row>
      <xdr:rowOff>313765</xdr:rowOff>
    </xdr:from>
    <xdr:to>
      <xdr:col>0</xdr:col>
      <xdr:colOff>1165413</xdr:colOff>
      <xdr:row>50</xdr:row>
      <xdr:rowOff>44824</xdr:rowOff>
    </xdr:to>
    <xdr:sp macro="" textlink="">
      <xdr:nvSpPr>
        <xdr:cNvPr id="2562" name="Flèche vers le bas 256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49</xdr:row>
      <xdr:rowOff>313765</xdr:rowOff>
    </xdr:from>
    <xdr:to>
      <xdr:col>0</xdr:col>
      <xdr:colOff>1165413</xdr:colOff>
      <xdr:row>50</xdr:row>
      <xdr:rowOff>44824</xdr:rowOff>
    </xdr:to>
    <xdr:sp macro="" textlink="">
      <xdr:nvSpPr>
        <xdr:cNvPr id="2563" name="Flèche vers le bas 256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49</xdr:row>
      <xdr:rowOff>313765</xdr:rowOff>
    </xdr:from>
    <xdr:to>
      <xdr:col>0</xdr:col>
      <xdr:colOff>1165413</xdr:colOff>
      <xdr:row>50</xdr:row>
      <xdr:rowOff>44824</xdr:rowOff>
    </xdr:to>
    <xdr:sp macro="" textlink="">
      <xdr:nvSpPr>
        <xdr:cNvPr id="2564" name="Flèche vers le bas 256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49</xdr:row>
      <xdr:rowOff>313765</xdr:rowOff>
    </xdr:from>
    <xdr:to>
      <xdr:col>0</xdr:col>
      <xdr:colOff>1165413</xdr:colOff>
      <xdr:row>50</xdr:row>
      <xdr:rowOff>44824</xdr:rowOff>
    </xdr:to>
    <xdr:sp macro="" textlink="">
      <xdr:nvSpPr>
        <xdr:cNvPr id="2565" name="Flèche vers le bas 256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49</xdr:row>
      <xdr:rowOff>313765</xdr:rowOff>
    </xdr:from>
    <xdr:to>
      <xdr:col>0</xdr:col>
      <xdr:colOff>1165413</xdr:colOff>
      <xdr:row>50</xdr:row>
      <xdr:rowOff>44824</xdr:rowOff>
    </xdr:to>
    <xdr:sp macro="" textlink="">
      <xdr:nvSpPr>
        <xdr:cNvPr id="2566" name="Flèche vers le bas 256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49</xdr:row>
      <xdr:rowOff>313765</xdr:rowOff>
    </xdr:from>
    <xdr:to>
      <xdr:col>0</xdr:col>
      <xdr:colOff>1165413</xdr:colOff>
      <xdr:row>50</xdr:row>
      <xdr:rowOff>44824</xdr:rowOff>
    </xdr:to>
    <xdr:sp macro="" textlink="">
      <xdr:nvSpPr>
        <xdr:cNvPr id="2567" name="Flèche vers le bas 256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49</xdr:row>
      <xdr:rowOff>313765</xdr:rowOff>
    </xdr:from>
    <xdr:to>
      <xdr:col>0</xdr:col>
      <xdr:colOff>1165413</xdr:colOff>
      <xdr:row>50</xdr:row>
      <xdr:rowOff>44824</xdr:rowOff>
    </xdr:to>
    <xdr:sp macro="" textlink="">
      <xdr:nvSpPr>
        <xdr:cNvPr id="2568" name="Flèche vers le bas 256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50</xdr:row>
      <xdr:rowOff>313765</xdr:rowOff>
    </xdr:from>
    <xdr:to>
      <xdr:col>0</xdr:col>
      <xdr:colOff>1165413</xdr:colOff>
      <xdr:row>51</xdr:row>
      <xdr:rowOff>44824</xdr:rowOff>
    </xdr:to>
    <xdr:sp macro="" textlink="">
      <xdr:nvSpPr>
        <xdr:cNvPr id="2569" name="Flèche vers le bas 256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50</xdr:row>
      <xdr:rowOff>313765</xdr:rowOff>
    </xdr:from>
    <xdr:to>
      <xdr:col>0</xdr:col>
      <xdr:colOff>1165413</xdr:colOff>
      <xdr:row>51</xdr:row>
      <xdr:rowOff>44824</xdr:rowOff>
    </xdr:to>
    <xdr:sp macro="" textlink="">
      <xdr:nvSpPr>
        <xdr:cNvPr id="2570" name="Flèche vers le bas 256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50</xdr:row>
      <xdr:rowOff>313765</xdr:rowOff>
    </xdr:from>
    <xdr:to>
      <xdr:col>0</xdr:col>
      <xdr:colOff>1165413</xdr:colOff>
      <xdr:row>51</xdr:row>
      <xdr:rowOff>44824</xdr:rowOff>
    </xdr:to>
    <xdr:sp macro="" textlink="">
      <xdr:nvSpPr>
        <xdr:cNvPr id="2571" name="Flèche vers le bas 257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50</xdr:row>
      <xdr:rowOff>313765</xdr:rowOff>
    </xdr:from>
    <xdr:to>
      <xdr:col>0</xdr:col>
      <xdr:colOff>1165413</xdr:colOff>
      <xdr:row>51</xdr:row>
      <xdr:rowOff>44824</xdr:rowOff>
    </xdr:to>
    <xdr:sp macro="" textlink="">
      <xdr:nvSpPr>
        <xdr:cNvPr id="2572" name="Flèche vers le bas 257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50</xdr:row>
      <xdr:rowOff>313765</xdr:rowOff>
    </xdr:from>
    <xdr:to>
      <xdr:col>0</xdr:col>
      <xdr:colOff>1165413</xdr:colOff>
      <xdr:row>51</xdr:row>
      <xdr:rowOff>44824</xdr:rowOff>
    </xdr:to>
    <xdr:sp macro="" textlink="">
      <xdr:nvSpPr>
        <xdr:cNvPr id="2573" name="Flèche vers le bas 257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50</xdr:row>
      <xdr:rowOff>313765</xdr:rowOff>
    </xdr:from>
    <xdr:to>
      <xdr:col>0</xdr:col>
      <xdr:colOff>1165413</xdr:colOff>
      <xdr:row>51</xdr:row>
      <xdr:rowOff>44824</xdr:rowOff>
    </xdr:to>
    <xdr:sp macro="" textlink="">
      <xdr:nvSpPr>
        <xdr:cNvPr id="2574" name="Flèche vers le bas 257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50</xdr:row>
      <xdr:rowOff>313765</xdr:rowOff>
    </xdr:from>
    <xdr:to>
      <xdr:col>0</xdr:col>
      <xdr:colOff>1165413</xdr:colOff>
      <xdr:row>51</xdr:row>
      <xdr:rowOff>44824</xdr:rowOff>
    </xdr:to>
    <xdr:sp macro="" textlink="">
      <xdr:nvSpPr>
        <xdr:cNvPr id="2575" name="Flèche vers le bas 257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50</xdr:row>
      <xdr:rowOff>313765</xdr:rowOff>
    </xdr:from>
    <xdr:to>
      <xdr:col>0</xdr:col>
      <xdr:colOff>1165413</xdr:colOff>
      <xdr:row>51</xdr:row>
      <xdr:rowOff>44824</xdr:rowOff>
    </xdr:to>
    <xdr:sp macro="" textlink="">
      <xdr:nvSpPr>
        <xdr:cNvPr id="2576" name="Flèche vers le bas 257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50</xdr:row>
      <xdr:rowOff>313765</xdr:rowOff>
    </xdr:from>
    <xdr:to>
      <xdr:col>0</xdr:col>
      <xdr:colOff>1165413</xdr:colOff>
      <xdr:row>51</xdr:row>
      <xdr:rowOff>44824</xdr:rowOff>
    </xdr:to>
    <xdr:sp macro="" textlink="">
      <xdr:nvSpPr>
        <xdr:cNvPr id="2577" name="Flèche vers le bas 257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51</xdr:row>
      <xdr:rowOff>313765</xdr:rowOff>
    </xdr:from>
    <xdr:to>
      <xdr:col>0</xdr:col>
      <xdr:colOff>1165413</xdr:colOff>
      <xdr:row>52</xdr:row>
      <xdr:rowOff>44824</xdr:rowOff>
    </xdr:to>
    <xdr:sp macro="" textlink="">
      <xdr:nvSpPr>
        <xdr:cNvPr id="2578" name="Flèche vers le bas 257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51</xdr:row>
      <xdr:rowOff>313765</xdr:rowOff>
    </xdr:from>
    <xdr:to>
      <xdr:col>0</xdr:col>
      <xdr:colOff>1165413</xdr:colOff>
      <xdr:row>52</xdr:row>
      <xdr:rowOff>44824</xdr:rowOff>
    </xdr:to>
    <xdr:sp macro="" textlink="">
      <xdr:nvSpPr>
        <xdr:cNvPr id="2579" name="Flèche vers le bas 257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51</xdr:row>
      <xdr:rowOff>313765</xdr:rowOff>
    </xdr:from>
    <xdr:to>
      <xdr:col>0</xdr:col>
      <xdr:colOff>1165413</xdr:colOff>
      <xdr:row>52</xdr:row>
      <xdr:rowOff>44824</xdr:rowOff>
    </xdr:to>
    <xdr:sp macro="" textlink="">
      <xdr:nvSpPr>
        <xdr:cNvPr id="2580" name="Flèche vers le bas 257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51</xdr:row>
      <xdr:rowOff>313765</xdr:rowOff>
    </xdr:from>
    <xdr:to>
      <xdr:col>0</xdr:col>
      <xdr:colOff>1165413</xdr:colOff>
      <xdr:row>52</xdr:row>
      <xdr:rowOff>44824</xdr:rowOff>
    </xdr:to>
    <xdr:sp macro="" textlink="">
      <xdr:nvSpPr>
        <xdr:cNvPr id="2581" name="Flèche vers le bas 258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51</xdr:row>
      <xdr:rowOff>313765</xdr:rowOff>
    </xdr:from>
    <xdr:to>
      <xdr:col>0</xdr:col>
      <xdr:colOff>1165413</xdr:colOff>
      <xdr:row>52</xdr:row>
      <xdr:rowOff>44824</xdr:rowOff>
    </xdr:to>
    <xdr:sp macro="" textlink="">
      <xdr:nvSpPr>
        <xdr:cNvPr id="2582" name="Flèche vers le bas 258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51</xdr:row>
      <xdr:rowOff>313765</xdr:rowOff>
    </xdr:from>
    <xdr:to>
      <xdr:col>0</xdr:col>
      <xdr:colOff>1165413</xdr:colOff>
      <xdr:row>52</xdr:row>
      <xdr:rowOff>44824</xdr:rowOff>
    </xdr:to>
    <xdr:sp macro="" textlink="">
      <xdr:nvSpPr>
        <xdr:cNvPr id="2583" name="Flèche vers le bas 258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51</xdr:row>
      <xdr:rowOff>313765</xdr:rowOff>
    </xdr:from>
    <xdr:to>
      <xdr:col>0</xdr:col>
      <xdr:colOff>1165413</xdr:colOff>
      <xdr:row>52</xdr:row>
      <xdr:rowOff>44824</xdr:rowOff>
    </xdr:to>
    <xdr:sp macro="" textlink="">
      <xdr:nvSpPr>
        <xdr:cNvPr id="2584" name="Flèche vers le bas 258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51</xdr:row>
      <xdr:rowOff>313765</xdr:rowOff>
    </xdr:from>
    <xdr:to>
      <xdr:col>0</xdr:col>
      <xdr:colOff>1165413</xdr:colOff>
      <xdr:row>52</xdr:row>
      <xdr:rowOff>44824</xdr:rowOff>
    </xdr:to>
    <xdr:sp macro="" textlink="">
      <xdr:nvSpPr>
        <xdr:cNvPr id="2585" name="Flèche vers le bas 258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51</xdr:row>
      <xdr:rowOff>313765</xdr:rowOff>
    </xdr:from>
    <xdr:to>
      <xdr:col>0</xdr:col>
      <xdr:colOff>1165413</xdr:colOff>
      <xdr:row>52</xdr:row>
      <xdr:rowOff>44824</xdr:rowOff>
    </xdr:to>
    <xdr:sp macro="" textlink="">
      <xdr:nvSpPr>
        <xdr:cNvPr id="2586" name="Flèche vers le bas 258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52</xdr:row>
      <xdr:rowOff>313765</xdr:rowOff>
    </xdr:from>
    <xdr:to>
      <xdr:col>0</xdr:col>
      <xdr:colOff>1165413</xdr:colOff>
      <xdr:row>53</xdr:row>
      <xdr:rowOff>44824</xdr:rowOff>
    </xdr:to>
    <xdr:sp macro="" textlink="">
      <xdr:nvSpPr>
        <xdr:cNvPr id="2587" name="Flèche vers le bas 258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52</xdr:row>
      <xdr:rowOff>313765</xdr:rowOff>
    </xdr:from>
    <xdr:to>
      <xdr:col>0</xdr:col>
      <xdr:colOff>1165413</xdr:colOff>
      <xdr:row>53</xdr:row>
      <xdr:rowOff>44824</xdr:rowOff>
    </xdr:to>
    <xdr:sp macro="" textlink="">
      <xdr:nvSpPr>
        <xdr:cNvPr id="2588" name="Flèche vers le bas 258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52</xdr:row>
      <xdr:rowOff>313765</xdr:rowOff>
    </xdr:from>
    <xdr:to>
      <xdr:col>0</xdr:col>
      <xdr:colOff>1165413</xdr:colOff>
      <xdr:row>53</xdr:row>
      <xdr:rowOff>44824</xdr:rowOff>
    </xdr:to>
    <xdr:sp macro="" textlink="">
      <xdr:nvSpPr>
        <xdr:cNvPr id="2589" name="Flèche vers le bas 258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52</xdr:row>
      <xdr:rowOff>313765</xdr:rowOff>
    </xdr:from>
    <xdr:to>
      <xdr:col>0</xdr:col>
      <xdr:colOff>1165413</xdr:colOff>
      <xdr:row>53</xdr:row>
      <xdr:rowOff>44824</xdr:rowOff>
    </xdr:to>
    <xdr:sp macro="" textlink="">
      <xdr:nvSpPr>
        <xdr:cNvPr id="2590" name="Flèche vers le bas 258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52</xdr:row>
      <xdr:rowOff>313765</xdr:rowOff>
    </xdr:from>
    <xdr:to>
      <xdr:col>0</xdr:col>
      <xdr:colOff>1165413</xdr:colOff>
      <xdr:row>53</xdr:row>
      <xdr:rowOff>44824</xdr:rowOff>
    </xdr:to>
    <xdr:sp macro="" textlink="">
      <xdr:nvSpPr>
        <xdr:cNvPr id="2591" name="Flèche vers le bas 259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52</xdr:row>
      <xdr:rowOff>313765</xdr:rowOff>
    </xdr:from>
    <xdr:to>
      <xdr:col>0</xdr:col>
      <xdr:colOff>1165413</xdr:colOff>
      <xdr:row>53</xdr:row>
      <xdr:rowOff>44824</xdr:rowOff>
    </xdr:to>
    <xdr:sp macro="" textlink="">
      <xdr:nvSpPr>
        <xdr:cNvPr id="2592" name="Flèche vers le bas 259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52</xdr:row>
      <xdr:rowOff>313765</xdr:rowOff>
    </xdr:from>
    <xdr:to>
      <xdr:col>0</xdr:col>
      <xdr:colOff>1165413</xdr:colOff>
      <xdr:row>53</xdr:row>
      <xdr:rowOff>44824</xdr:rowOff>
    </xdr:to>
    <xdr:sp macro="" textlink="">
      <xdr:nvSpPr>
        <xdr:cNvPr id="2593" name="Flèche vers le bas 259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52</xdr:row>
      <xdr:rowOff>313765</xdr:rowOff>
    </xdr:from>
    <xdr:to>
      <xdr:col>0</xdr:col>
      <xdr:colOff>1165413</xdr:colOff>
      <xdr:row>53</xdr:row>
      <xdr:rowOff>44824</xdr:rowOff>
    </xdr:to>
    <xdr:sp macro="" textlink="">
      <xdr:nvSpPr>
        <xdr:cNvPr id="2594" name="Flèche vers le bas 259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52</xdr:row>
      <xdr:rowOff>313765</xdr:rowOff>
    </xdr:from>
    <xdr:to>
      <xdr:col>0</xdr:col>
      <xdr:colOff>1165413</xdr:colOff>
      <xdr:row>53</xdr:row>
      <xdr:rowOff>44824</xdr:rowOff>
    </xdr:to>
    <xdr:sp macro="" textlink="">
      <xdr:nvSpPr>
        <xdr:cNvPr id="2595" name="Flèche vers le bas 259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53</xdr:row>
      <xdr:rowOff>313765</xdr:rowOff>
    </xdr:from>
    <xdr:to>
      <xdr:col>0</xdr:col>
      <xdr:colOff>1165413</xdr:colOff>
      <xdr:row>54</xdr:row>
      <xdr:rowOff>44824</xdr:rowOff>
    </xdr:to>
    <xdr:sp macro="" textlink="">
      <xdr:nvSpPr>
        <xdr:cNvPr id="2596" name="Flèche vers le bas 259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53</xdr:row>
      <xdr:rowOff>313765</xdr:rowOff>
    </xdr:from>
    <xdr:to>
      <xdr:col>0</xdr:col>
      <xdr:colOff>1165413</xdr:colOff>
      <xdr:row>54</xdr:row>
      <xdr:rowOff>44824</xdr:rowOff>
    </xdr:to>
    <xdr:sp macro="" textlink="">
      <xdr:nvSpPr>
        <xdr:cNvPr id="2597" name="Flèche vers le bas 259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53</xdr:row>
      <xdr:rowOff>313765</xdr:rowOff>
    </xdr:from>
    <xdr:to>
      <xdr:col>0</xdr:col>
      <xdr:colOff>1165413</xdr:colOff>
      <xdr:row>54</xdr:row>
      <xdr:rowOff>44824</xdr:rowOff>
    </xdr:to>
    <xdr:sp macro="" textlink="">
      <xdr:nvSpPr>
        <xdr:cNvPr id="2598" name="Flèche vers le bas 259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53</xdr:row>
      <xdr:rowOff>313765</xdr:rowOff>
    </xdr:from>
    <xdr:to>
      <xdr:col>0</xdr:col>
      <xdr:colOff>1165413</xdr:colOff>
      <xdr:row>54</xdr:row>
      <xdr:rowOff>44824</xdr:rowOff>
    </xdr:to>
    <xdr:sp macro="" textlink="">
      <xdr:nvSpPr>
        <xdr:cNvPr id="2599" name="Flèche vers le bas 259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53</xdr:row>
      <xdr:rowOff>313765</xdr:rowOff>
    </xdr:from>
    <xdr:to>
      <xdr:col>0</xdr:col>
      <xdr:colOff>1165413</xdr:colOff>
      <xdr:row>54</xdr:row>
      <xdr:rowOff>44824</xdr:rowOff>
    </xdr:to>
    <xdr:sp macro="" textlink="">
      <xdr:nvSpPr>
        <xdr:cNvPr id="2600" name="Flèche vers le bas 259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53</xdr:row>
      <xdr:rowOff>313765</xdr:rowOff>
    </xdr:from>
    <xdr:to>
      <xdr:col>0</xdr:col>
      <xdr:colOff>1165413</xdr:colOff>
      <xdr:row>54</xdr:row>
      <xdr:rowOff>44824</xdr:rowOff>
    </xdr:to>
    <xdr:sp macro="" textlink="">
      <xdr:nvSpPr>
        <xdr:cNvPr id="2601" name="Flèche vers le bas 260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53</xdr:row>
      <xdr:rowOff>313765</xdr:rowOff>
    </xdr:from>
    <xdr:to>
      <xdr:col>0</xdr:col>
      <xdr:colOff>1165413</xdr:colOff>
      <xdr:row>54</xdr:row>
      <xdr:rowOff>44824</xdr:rowOff>
    </xdr:to>
    <xdr:sp macro="" textlink="">
      <xdr:nvSpPr>
        <xdr:cNvPr id="2602" name="Flèche vers le bas 260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53</xdr:row>
      <xdr:rowOff>313765</xdr:rowOff>
    </xdr:from>
    <xdr:to>
      <xdr:col>0</xdr:col>
      <xdr:colOff>1165413</xdr:colOff>
      <xdr:row>54</xdr:row>
      <xdr:rowOff>44824</xdr:rowOff>
    </xdr:to>
    <xdr:sp macro="" textlink="">
      <xdr:nvSpPr>
        <xdr:cNvPr id="2603" name="Flèche vers le bas 260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53</xdr:row>
      <xdr:rowOff>313765</xdr:rowOff>
    </xdr:from>
    <xdr:to>
      <xdr:col>0</xdr:col>
      <xdr:colOff>1165413</xdr:colOff>
      <xdr:row>54</xdr:row>
      <xdr:rowOff>44824</xdr:rowOff>
    </xdr:to>
    <xdr:sp macro="" textlink="">
      <xdr:nvSpPr>
        <xdr:cNvPr id="2604" name="Flèche vers le bas 260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54</xdr:row>
      <xdr:rowOff>313765</xdr:rowOff>
    </xdr:from>
    <xdr:to>
      <xdr:col>0</xdr:col>
      <xdr:colOff>1165413</xdr:colOff>
      <xdr:row>55</xdr:row>
      <xdr:rowOff>44824</xdr:rowOff>
    </xdr:to>
    <xdr:sp macro="" textlink="">
      <xdr:nvSpPr>
        <xdr:cNvPr id="2605" name="Flèche vers le bas 260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54</xdr:row>
      <xdr:rowOff>313765</xdr:rowOff>
    </xdr:from>
    <xdr:to>
      <xdr:col>0</xdr:col>
      <xdr:colOff>1165413</xdr:colOff>
      <xdr:row>55</xdr:row>
      <xdr:rowOff>44824</xdr:rowOff>
    </xdr:to>
    <xdr:sp macro="" textlink="">
      <xdr:nvSpPr>
        <xdr:cNvPr id="2606" name="Flèche vers le bas 260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54</xdr:row>
      <xdr:rowOff>313765</xdr:rowOff>
    </xdr:from>
    <xdr:to>
      <xdr:col>0</xdr:col>
      <xdr:colOff>1165413</xdr:colOff>
      <xdr:row>55</xdr:row>
      <xdr:rowOff>44824</xdr:rowOff>
    </xdr:to>
    <xdr:sp macro="" textlink="">
      <xdr:nvSpPr>
        <xdr:cNvPr id="2607" name="Flèche vers le bas 260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54</xdr:row>
      <xdr:rowOff>313765</xdr:rowOff>
    </xdr:from>
    <xdr:to>
      <xdr:col>0</xdr:col>
      <xdr:colOff>1165413</xdr:colOff>
      <xdr:row>55</xdr:row>
      <xdr:rowOff>44824</xdr:rowOff>
    </xdr:to>
    <xdr:sp macro="" textlink="">
      <xdr:nvSpPr>
        <xdr:cNvPr id="2608" name="Flèche vers le bas 260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54</xdr:row>
      <xdr:rowOff>313765</xdr:rowOff>
    </xdr:from>
    <xdr:to>
      <xdr:col>0</xdr:col>
      <xdr:colOff>1165413</xdr:colOff>
      <xdr:row>55</xdr:row>
      <xdr:rowOff>44824</xdr:rowOff>
    </xdr:to>
    <xdr:sp macro="" textlink="">
      <xdr:nvSpPr>
        <xdr:cNvPr id="2609" name="Flèche vers le bas 260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54</xdr:row>
      <xdr:rowOff>313765</xdr:rowOff>
    </xdr:from>
    <xdr:to>
      <xdr:col>0</xdr:col>
      <xdr:colOff>1165413</xdr:colOff>
      <xdr:row>55</xdr:row>
      <xdr:rowOff>44824</xdr:rowOff>
    </xdr:to>
    <xdr:sp macro="" textlink="">
      <xdr:nvSpPr>
        <xdr:cNvPr id="2610" name="Flèche vers le bas 260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54</xdr:row>
      <xdr:rowOff>313765</xdr:rowOff>
    </xdr:from>
    <xdr:to>
      <xdr:col>0</xdr:col>
      <xdr:colOff>1165413</xdr:colOff>
      <xdr:row>55</xdr:row>
      <xdr:rowOff>44824</xdr:rowOff>
    </xdr:to>
    <xdr:sp macro="" textlink="">
      <xdr:nvSpPr>
        <xdr:cNvPr id="2611" name="Flèche vers le bas 261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54</xdr:row>
      <xdr:rowOff>313765</xdr:rowOff>
    </xdr:from>
    <xdr:to>
      <xdr:col>0</xdr:col>
      <xdr:colOff>1165413</xdr:colOff>
      <xdr:row>55</xdr:row>
      <xdr:rowOff>44824</xdr:rowOff>
    </xdr:to>
    <xdr:sp macro="" textlink="">
      <xdr:nvSpPr>
        <xdr:cNvPr id="2612" name="Flèche vers le bas 261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54</xdr:row>
      <xdr:rowOff>313765</xdr:rowOff>
    </xdr:from>
    <xdr:to>
      <xdr:col>0</xdr:col>
      <xdr:colOff>1165413</xdr:colOff>
      <xdr:row>55</xdr:row>
      <xdr:rowOff>44824</xdr:rowOff>
    </xdr:to>
    <xdr:sp macro="" textlink="">
      <xdr:nvSpPr>
        <xdr:cNvPr id="2613" name="Flèche vers le bas 261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55</xdr:row>
      <xdr:rowOff>313765</xdr:rowOff>
    </xdr:from>
    <xdr:to>
      <xdr:col>0</xdr:col>
      <xdr:colOff>1165413</xdr:colOff>
      <xdr:row>56</xdr:row>
      <xdr:rowOff>44824</xdr:rowOff>
    </xdr:to>
    <xdr:sp macro="" textlink="">
      <xdr:nvSpPr>
        <xdr:cNvPr id="2614" name="Flèche vers le bas 261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55</xdr:row>
      <xdr:rowOff>313765</xdr:rowOff>
    </xdr:from>
    <xdr:to>
      <xdr:col>0</xdr:col>
      <xdr:colOff>1165413</xdr:colOff>
      <xdr:row>56</xdr:row>
      <xdr:rowOff>44824</xdr:rowOff>
    </xdr:to>
    <xdr:sp macro="" textlink="">
      <xdr:nvSpPr>
        <xdr:cNvPr id="2615" name="Flèche vers le bas 261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55</xdr:row>
      <xdr:rowOff>313765</xdr:rowOff>
    </xdr:from>
    <xdr:to>
      <xdr:col>0</xdr:col>
      <xdr:colOff>1165413</xdr:colOff>
      <xdr:row>56</xdr:row>
      <xdr:rowOff>44824</xdr:rowOff>
    </xdr:to>
    <xdr:sp macro="" textlink="">
      <xdr:nvSpPr>
        <xdr:cNvPr id="2616" name="Flèche vers le bas 261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55</xdr:row>
      <xdr:rowOff>313765</xdr:rowOff>
    </xdr:from>
    <xdr:to>
      <xdr:col>0</xdr:col>
      <xdr:colOff>1165413</xdr:colOff>
      <xdr:row>56</xdr:row>
      <xdr:rowOff>44824</xdr:rowOff>
    </xdr:to>
    <xdr:sp macro="" textlink="">
      <xdr:nvSpPr>
        <xdr:cNvPr id="2617" name="Flèche vers le bas 261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55</xdr:row>
      <xdr:rowOff>313765</xdr:rowOff>
    </xdr:from>
    <xdr:to>
      <xdr:col>0</xdr:col>
      <xdr:colOff>1165413</xdr:colOff>
      <xdr:row>56</xdr:row>
      <xdr:rowOff>44824</xdr:rowOff>
    </xdr:to>
    <xdr:sp macro="" textlink="">
      <xdr:nvSpPr>
        <xdr:cNvPr id="2618" name="Flèche vers le bas 261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55</xdr:row>
      <xdr:rowOff>313765</xdr:rowOff>
    </xdr:from>
    <xdr:to>
      <xdr:col>0</xdr:col>
      <xdr:colOff>1165413</xdr:colOff>
      <xdr:row>56</xdr:row>
      <xdr:rowOff>44824</xdr:rowOff>
    </xdr:to>
    <xdr:sp macro="" textlink="">
      <xdr:nvSpPr>
        <xdr:cNvPr id="2619" name="Flèche vers le bas 261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55</xdr:row>
      <xdr:rowOff>313765</xdr:rowOff>
    </xdr:from>
    <xdr:to>
      <xdr:col>0</xdr:col>
      <xdr:colOff>1165413</xdr:colOff>
      <xdr:row>56</xdr:row>
      <xdr:rowOff>44824</xdr:rowOff>
    </xdr:to>
    <xdr:sp macro="" textlink="">
      <xdr:nvSpPr>
        <xdr:cNvPr id="2620" name="Flèche vers le bas 261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55</xdr:row>
      <xdr:rowOff>313765</xdr:rowOff>
    </xdr:from>
    <xdr:to>
      <xdr:col>0</xdr:col>
      <xdr:colOff>1165413</xdr:colOff>
      <xdr:row>56</xdr:row>
      <xdr:rowOff>44824</xdr:rowOff>
    </xdr:to>
    <xdr:sp macro="" textlink="">
      <xdr:nvSpPr>
        <xdr:cNvPr id="2621" name="Flèche vers le bas 262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55</xdr:row>
      <xdr:rowOff>313765</xdr:rowOff>
    </xdr:from>
    <xdr:to>
      <xdr:col>0</xdr:col>
      <xdr:colOff>1165413</xdr:colOff>
      <xdr:row>56</xdr:row>
      <xdr:rowOff>44824</xdr:rowOff>
    </xdr:to>
    <xdr:sp macro="" textlink="">
      <xdr:nvSpPr>
        <xdr:cNvPr id="2622" name="Flèche vers le bas 262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56</xdr:row>
      <xdr:rowOff>313765</xdr:rowOff>
    </xdr:from>
    <xdr:to>
      <xdr:col>0</xdr:col>
      <xdr:colOff>1165413</xdr:colOff>
      <xdr:row>57</xdr:row>
      <xdr:rowOff>44824</xdr:rowOff>
    </xdr:to>
    <xdr:sp macro="" textlink="">
      <xdr:nvSpPr>
        <xdr:cNvPr id="2623" name="Flèche vers le bas 262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56</xdr:row>
      <xdr:rowOff>313765</xdr:rowOff>
    </xdr:from>
    <xdr:to>
      <xdr:col>0</xdr:col>
      <xdr:colOff>1165413</xdr:colOff>
      <xdr:row>57</xdr:row>
      <xdr:rowOff>44824</xdr:rowOff>
    </xdr:to>
    <xdr:sp macro="" textlink="">
      <xdr:nvSpPr>
        <xdr:cNvPr id="2624" name="Flèche vers le bas 262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56</xdr:row>
      <xdr:rowOff>313765</xdr:rowOff>
    </xdr:from>
    <xdr:to>
      <xdr:col>0</xdr:col>
      <xdr:colOff>1165413</xdr:colOff>
      <xdr:row>57</xdr:row>
      <xdr:rowOff>44824</xdr:rowOff>
    </xdr:to>
    <xdr:sp macro="" textlink="">
      <xdr:nvSpPr>
        <xdr:cNvPr id="2625" name="Flèche vers le bas 262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56</xdr:row>
      <xdr:rowOff>313765</xdr:rowOff>
    </xdr:from>
    <xdr:to>
      <xdr:col>0</xdr:col>
      <xdr:colOff>1165413</xdr:colOff>
      <xdr:row>57</xdr:row>
      <xdr:rowOff>44824</xdr:rowOff>
    </xdr:to>
    <xdr:sp macro="" textlink="">
      <xdr:nvSpPr>
        <xdr:cNvPr id="2626" name="Flèche vers le bas 262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56</xdr:row>
      <xdr:rowOff>313765</xdr:rowOff>
    </xdr:from>
    <xdr:to>
      <xdr:col>0</xdr:col>
      <xdr:colOff>1165413</xdr:colOff>
      <xdr:row>57</xdr:row>
      <xdr:rowOff>44824</xdr:rowOff>
    </xdr:to>
    <xdr:sp macro="" textlink="">
      <xdr:nvSpPr>
        <xdr:cNvPr id="2627" name="Flèche vers le bas 262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56</xdr:row>
      <xdr:rowOff>313765</xdr:rowOff>
    </xdr:from>
    <xdr:to>
      <xdr:col>0</xdr:col>
      <xdr:colOff>1165413</xdr:colOff>
      <xdr:row>57</xdr:row>
      <xdr:rowOff>44824</xdr:rowOff>
    </xdr:to>
    <xdr:sp macro="" textlink="">
      <xdr:nvSpPr>
        <xdr:cNvPr id="2628" name="Flèche vers le bas 262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56</xdr:row>
      <xdr:rowOff>313765</xdr:rowOff>
    </xdr:from>
    <xdr:to>
      <xdr:col>0</xdr:col>
      <xdr:colOff>1165413</xdr:colOff>
      <xdr:row>57</xdr:row>
      <xdr:rowOff>44824</xdr:rowOff>
    </xdr:to>
    <xdr:sp macro="" textlink="">
      <xdr:nvSpPr>
        <xdr:cNvPr id="2629" name="Flèche vers le bas 262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56</xdr:row>
      <xdr:rowOff>313765</xdr:rowOff>
    </xdr:from>
    <xdr:to>
      <xdr:col>0</xdr:col>
      <xdr:colOff>1165413</xdr:colOff>
      <xdr:row>57</xdr:row>
      <xdr:rowOff>44824</xdr:rowOff>
    </xdr:to>
    <xdr:sp macro="" textlink="">
      <xdr:nvSpPr>
        <xdr:cNvPr id="2630" name="Flèche vers le bas 262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56</xdr:row>
      <xdr:rowOff>313765</xdr:rowOff>
    </xdr:from>
    <xdr:to>
      <xdr:col>0</xdr:col>
      <xdr:colOff>1165413</xdr:colOff>
      <xdr:row>57</xdr:row>
      <xdr:rowOff>44824</xdr:rowOff>
    </xdr:to>
    <xdr:sp macro="" textlink="">
      <xdr:nvSpPr>
        <xdr:cNvPr id="2631" name="Flèche vers le bas 263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57</xdr:row>
      <xdr:rowOff>313765</xdr:rowOff>
    </xdr:from>
    <xdr:to>
      <xdr:col>0</xdr:col>
      <xdr:colOff>1165413</xdr:colOff>
      <xdr:row>58</xdr:row>
      <xdr:rowOff>44824</xdr:rowOff>
    </xdr:to>
    <xdr:sp macro="" textlink="">
      <xdr:nvSpPr>
        <xdr:cNvPr id="2632" name="Flèche vers le bas 263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57</xdr:row>
      <xdr:rowOff>313765</xdr:rowOff>
    </xdr:from>
    <xdr:to>
      <xdr:col>0</xdr:col>
      <xdr:colOff>1165413</xdr:colOff>
      <xdr:row>58</xdr:row>
      <xdr:rowOff>44824</xdr:rowOff>
    </xdr:to>
    <xdr:sp macro="" textlink="">
      <xdr:nvSpPr>
        <xdr:cNvPr id="2633" name="Flèche vers le bas 263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57</xdr:row>
      <xdr:rowOff>313765</xdr:rowOff>
    </xdr:from>
    <xdr:to>
      <xdr:col>0</xdr:col>
      <xdr:colOff>1165413</xdr:colOff>
      <xdr:row>58</xdr:row>
      <xdr:rowOff>44824</xdr:rowOff>
    </xdr:to>
    <xdr:sp macro="" textlink="">
      <xdr:nvSpPr>
        <xdr:cNvPr id="2634" name="Flèche vers le bas 263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57</xdr:row>
      <xdr:rowOff>313765</xdr:rowOff>
    </xdr:from>
    <xdr:to>
      <xdr:col>0</xdr:col>
      <xdr:colOff>1165413</xdr:colOff>
      <xdr:row>58</xdr:row>
      <xdr:rowOff>44824</xdr:rowOff>
    </xdr:to>
    <xdr:sp macro="" textlink="">
      <xdr:nvSpPr>
        <xdr:cNvPr id="2635" name="Flèche vers le bas 263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57</xdr:row>
      <xdr:rowOff>313765</xdr:rowOff>
    </xdr:from>
    <xdr:to>
      <xdr:col>0</xdr:col>
      <xdr:colOff>1165413</xdr:colOff>
      <xdr:row>58</xdr:row>
      <xdr:rowOff>44824</xdr:rowOff>
    </xdr:to>
    <xdr:sp macro="" textlink="">
      <xdr:nvSpPr>
        <xdr:cNvPr id="2636" name="Flèche vers le bas 263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57</xdr:row>
      <xdr:rowOff>313765</xdr:rowOff>
    </xdr:from>
    <xdr:to>
      <xdr:col>0</xdr:col>
      <xdr:colOff>1165413</xdr:colOff>
      <xdr:row>58</xdr:row>
      <xdr:rowOff>44824</xdr:rowOff>
    </xdr:to>
    <xdr:sp macro="" textlink="">
      <xdr:nvSpPr>
        <xdr:cNvPr id="2637" name="Flèche vers le bas 263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57</xdr:row>
      <xdr:rowOff>313765</xdr:rowOff>
    </xdr:from>
    <xdr:to>
      <xdr:col>0</xdr:col>
      <xdr:colOff>1165413</xdr:colOff>
      <xdr:row>58</xdr:row>
      <xdr:rowOff>44824</xdr:rowOff>
    </xdr:to>
    <xdr:sp macro="" textlink="">
      <xdr:nvSpPr>
        <xdr:cNvPr id="2638" name="Flèche vers le bas 263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57</xdr:row>
      <xdr:rowOff>313765</xdr:rowOff>
    </xdr:from>
    <xdr:to>
      <xdr:col>0</xdr:col>
      <xdr:colOff>1165413</xdr:colOff>
      <xdr:row>58</xdr:row>
      <xdr:rowOff>44824</xdr:rowOff>
    </xdr:to>
    <xdr:sp macro="" textlink="">
      <xdr:nvSpPr>
        <xdr:cNvPr id="2639" name="Flèche vers le bas 263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57</xdr:row>
      <xdr:rowOff>313765</xdr:rowOff>
    </xdr:from>
    <xdr:to>
      <xdr:col>0</xdr:col>
      <xdr:colOff>1165413</xdr:colOff>
      <xdr:row>58</xdr:row>
      <xdr:rowOff>44824</xdr:rowOff>
    </xdr:to>
    <xdr:sp macro="" textlink="">
      <xdr:nvSpPr>
        <xdr:cNvPr id="2640" name="Flèche vers le bas 263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58</xdr:row>
      <xdr:rowOff>313765</xdr:rowOff>
    </xdr:from>
    <xdr:to>
      <xdr:col>0</xdr:col>
      <xdr:colOff>1165413</xdr:colOff>
      <xdr:row>59</xdr:row>
      <xdr:rowOff>44824</xdr:rowOff>
    </xdr:to>
    <xdr:sp macro="" textlink="">
      <xdr:nvSpPr>
        <xdr:cNvPr id="2641" name="Flèche vers le bas 264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58</xdr:row>
      <xdr:rowOff>313765</xdr:rowOff>
    </xdr:from>
    <xdr:to>
      <xdr:col>0</xdr:col>
      <xdr:colOff>1165413</xdr:colOff>
      <xdr:row>59</xdr:row>
      <xdr:rowOff>44824</xdr:rowOff>
    </xdr:to>
    <xdr:sp macro="" textlink="">
      <xdr:nvSpPr>
        <xdr:cNvPr id="2642" name="Flèche vers le bas 264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58</xdr:row>
      <xdr:rowOff>313765</xdr:rowOff>
    </xdr:from>
    <xdr:to>
      <xdr:col>0</xdr:col>
      <xdr:colOff>1165413</xdr:colOff>
      <xdr:row>59</xdr:row>
      <xdr:rowOff>44824</xdr:rowOff>
    </xdr:to>
    <xdr:sp macro="" textlink="">
      <xdr:nvSpPr>
        <xdr:cNvPr id="2643" name="Flèche vers le bas 264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58</xdr:row>
      <xdr:rowOff>313765</xdr:rowOff>
    </xdr:from>
    <xdr:to>
      <xdr:col>0</xdr:col>
      <xdr:colOff>1165413</xdr:colOff>
      <xdr:row>59</xdr:row>
      <xdr:rowOff>44824</xdr:rowOff>
    </xdr:to>
    <xdr:sp macro="" textlink="">
      <xdr:nvSpPr>
        <xdr:cNvPr id="2644" name="Flèche vers le bas 264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58</xdr:row>
      <xdr:rowOff>313765</xdr:rowOff>
    </xdr:from>
    <xdr:to>
      <xdr:col>0</xdr:col>
      <xdr:colOff>1165413</xdr:colOff>
      <xdr:row>59</xdr:row>
      <xdr:rowOff>44824</xdr:rowOff>
    </xdr:to>
    <xdr:sp macro="" textlink="">
      <xdr:nvSpPr>
        <xdr:cNvPr id="2645" name="Flèche vers le bas 264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58</xdr:row>
      <xdr:rowOff>313765</xdr:rowOff>
    </xdr:from>
    <xdr:to>
      <xdr:col>0</xdr:col>
      <xdr:colOff>1165413</xdr:colOff>
      <xdr:row>59</xdr:row>
      <xdr:rowOff>44824</xdr:rowOff>
    </xdr:to>
    <xdr:sp macro="" textlink="">
      <xdr:nvSpPr>
        <xdr:cNvPr id="2646" name="Flèche vers le bas 264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58</xdr:row>
      <xdr:rowOff>313765</xdr:rowOff>
    </xdr:from>
    <xdr:to>
      <xdr:col>0</xdr:col>
      <xdr:colOff>1165413</xdr:colOff>
      <xdr:row>59</xdr:row>
      <xdr:rowOff>44824</xdr:rowOff>
    </xdr:to>
    <xdr:sp macro="" textlink="">
      <xdr:nvSpPr>
        <xdr:cNvPr id="2647" name="Flèche vers le bas 264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58</xdr:row>
      <xdr:rowOff>313765</xdr:rowOff>
    </xdr:from>
    <xdr:to>
      <xdr:col>0</xdr:col>
      <xdr:colOff>1165413</xdr:colOff>
      <xdr:row>59</xdr:row>
      <xdr:rowOff>44824</xdr:rowOff>
    </xdr:to>
    <xdr:sp macro="" textlink="">
      <xdr:nvSpPr>
        <xdr:cNvPr id="2648" name="Flèche vers le bas 264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58</xdr:row>
      <xdr:rowOff>313765</xdr:rowOff>
    </xdr:from>
    <xdr:to>
      <xdr:col>0</xdr:col>
      <xdr:colOff>1165413</xdr:colOff>
      <xdr:row>59</xdr:row>
      <xdr:rowOff>44824</xdr:rowOff>
    </xdr:to>
    <xdr:sp macro="" textlink="">
      <xdr:nvSpPr>
        <xdr:cNvPr id="2649" name="Flèche vers le bas 264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59</xdr:row>
      <xdr:rowOff>313765</xdr:rowOff>
    </xdr:from>
    <xdr:to>
      <xdr:col>0</xdr:col>
      <xdr:colOff>1165413</xdr:colOff>
      <xdr:row>60</xdr:row>
      <xdr:rowOff>44824</xdr:rowOff>
    </xdr:to>
    <xdr:sp macro="" textlink="">
      <xdr:nvSpPr>
        <xdr:cNvPr id="2650" name="Flèche vers le bas 264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59</xdr:row>
      <xdr:rowOff>313765</xdr:rowOff>
    </xdr:from>
    <xdr:to>
      <xdr:col>0</xdr:col>
      <xdr:colOff>1165413</xdr:colOff>
      <xdr:row>60</xdr:row>
      <xdr:rowOff>44824</xdr:rowOff>
    </xdr:to>
    <xdr:sp macro="" textlink="">
      <xdr:nvSpPr>
        <xdr:cNvPr id="2651" name="Flèche vers le bas 265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59</xdr:row>
      <xdr:rowOff>313765</xdr:rowOff>
    </xdr:from>
    <xdr:to>
      <xdr:col>0</xdr:col>
      <xdr:colOff>1165413</xdr:colOff>
      <xdr:row>60</xdr:row>
      <xdr:rowOff>44824</xdr:rowOff>
    </xdr:to>
    <xdr:sp macro="" textlink="">
      <xdr:nvSpPr>
        <xdr:cNvPr id="2652" name="Flèche vers le bas 265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59</xdr:row>
      <xdr:rowOff>313765</xdr:rowOff>
    </xdr:from>
    <xdr:to>
      <xdr:col>0</xdr:col>
      <xdr:colOff>1165413</xdr:colOff>
      <xdr:row>60</xdr:row>
      <xdr:rowOff>44824</xdr:rowOff>
    </xdr:to>
    <xdr:sp macro="" textlink="">
      <xdr:nvSpPr>
        <xdr:cNvPr id="2653" name="Flèche vers le bas 265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59</xdr:row>
      <xdr:rowOff>313765</xdr:rowOff>
    </xdr:from>
    <xdr:to>
      <xdr:col>0</xdr:col>
      <xdr:colOff>1165413</xdr:colOff>
      <xdr:row>60</xdr:row>
      <xdr:rowOff>44824</xdr:rowOff>
    </xdr:to>
    <xdr:sp macro="" textlink="">
      <xdr:nvSpPr>
        <xdr:cNvPr id="2654" name="Flèche vers le bas 265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59</xdr:row>
      <xdr:rowOff>313765</xdr:rowOff>
    </xdr:from>
    <xdr:to>
      <xdr:col>0</xdr:col>
      <xdr:colOff>1165413</xdr:colOff>
      <xdr:row>60</xdr:row>
      <xdr:rowOff>44824</xdr:rowOff>
    </xdr:to>
    <xdr:sp macro="" textlink="">
      <xdr:nvSpPr>
        <xdr:cNvPr id="2655" name="Flèche vers le bas 265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59</xdr:row>
      <xdr:rowOff>313765</xdr:rowOff>
    </xdr:from>
    <xdr:to>
      <xdr:col>0</xdr:col>
      <xdr:colOff>1165413</xdr:colOff>
      <xdr:row>60</xdr:row>
      <xdr:rowOff>44824</xdr:rowOff>
    </xdr:to>
    <xdr:sp macro="" textlink="">
      <xdr:nvSpPr>
        <xdr:cNvPr id="2656" name="Flèche vers le bas 265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59</xdr:row>
      <xdr:rowOff>313765</xdr:rowOff>
    </xdr:from>
    <xdr:to>
      <xdr:col>0</xdr:col>
      <xdr:colOff>1165413</xdr:colOff>
      <xdr:row>60</xdr:row>
      <xdr:rowOff>44824</xdr:rowOff>
    </xdr:to>
    <xdr:sp macro="" textlink="">
      <xdr:nvSpPr>
        <xdr:cNvPr id="2657" name="Flèche vers le bas 265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59</xdr:row>
      <xdr:rowOff>313765</xdr:rowOff>
    </xdr:from>
    <xdr:to>
      <xdr:col>0</xdr:col>
      <xdr:colOff>1165413</xdr:colOff>
      <xdr:row>60</xdr:row>
      <xdr:rowOff>44824</xdr:rowOff>
    </xdr:to>
    <xdr:sp macro="" textlink="">
      <xdr:nvSpPr>
        <xdr:cNvPr id="2658" name="Flèche vers le bas 265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60</xdr:row>
      <xdr:rowOff>313765</xdr:rowOff>
    </xdr:from>
    <xdr:to>
      <xdr:col>0</xdr:col>
      <xdr:colOff>1165413</xdr:colOff>
      <xdr:row>61</xdr:row>
      <xdr:rowOff>44824</xdr:rowOff>
    </xdr:to>
    <xdr:sp macro="" textlink="">
      <xdr:nvSpPr>
        <xdr:cNvPr id="2659" name="Flèche vers le bas 265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60</xdr:row>
      <xdr:rowOff>313765</xdr:rowOff>
    </xdr:from>
    <xdr:to>
      <xdr:col>0</xdr:col>
      <xdr:colOff>1165413</xdr:colOff>
      <xdr:row>61</xdr:row>
      <xdr:rowOff>44824</xdr:rowOff>
    </xdr:to>
    <xdr:sp macro="" textlink="">
      <xdr:nvSpPr>
        <xdr:cNvPr id="2660" name="Flèche vers le bas 265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60</xdr:row>
      <xdr:rowOff>313765</xdr:rowOff>
    </xdr:from>
    <xdr:to>
      <xdr:col>0</xdr:col>
      <xdr:colOff>1165413</xdr:colOff>
      <xdr:row>61</xdr:row>
      <xdr:rowOff>44824</xdr:rowOff>
    </xdr:to>
    <xdr:sp macro="" textlink="">
      <xdr:nvSpPr>
        <xdr:cNvPr id="2661" name="Flèche vers le bas 266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60</xdr:row>
      <xdr:rowOff>313765</xdr:rowOff>
    </xdr:from>
    <xdr:to>
      <xdr:col>0</xdr:col>
      <xdr:colOff>1165413</xdr:colOff>
      <xdr:row>61</xdr:row>
      <xdr:rowOff>44824</xdr:rowOff>
    </xdr:to>
    <xdr:sp macro="" textlink="">
      <xdr:nvSpPr>
        <xdr:cNvPr id="2662" name="Flèche vers le bas 266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60</xdr:row>
      <xdr:rowOff>313765</xdr:rowOff>
    </xdr:from>
    <xdr:to>
      <xdr:col>0</xdr:col>
      <xdr:colOff>1165413</xdr:colOff>
      <xdr:row>61</xdr:row>
      <xdr:rowOff>44824</xdr:rowOff>
    </xdr:to>
    <xdr:sp macro="" textlink="">
      <xdr:nvSpPr>
        <xdr:cNvPr id="2663" name="Flèche vers le bas 266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60</xdr:row>
      <xdr:rowOff>313765</xdr:rowOff>
    </xdr:from>
    <xdr:to>
      <xdr:col>0</xdr:col>
      <xdr:colOff>1165413</xdr:colOff>
      <xdr:row>61</xdr:row>
      <xdr:rowOff>44824</xdr:rowOff>
    </xdr:to>
    <xdr:sp macro="" textlink="">
      <xdr:nvSpPr>
        <xdr:cNvPr id="2664" name="Flèche vers le bas 266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60</xdr:row>
      <xdr:rowOff>313765</xdr:rowOff>
    </xdr:from>
    <xdr:to>
      <xdr:col>0</xdr:col>
      <xdr:colOff>1165413</xdr:colOff>
      <xdr:row>61</xdr:row>
      <xdr:rowOff>44824</xdr:rowOff>
    </xdr:to>
    <xdr:sp macro="" textlink="">
      <xdr:nvSpPr>
        <xdr:cNvPr id="2665" name="Flèche vers le bas 266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60</xdr:row>
      <xdr:rowOff>313765</xdr:rowOff>
    </xdr:from>
    <xdr:to>
      <xdr:col>0</xdr:col>
      <xdr:colOff>1165413</xdr:colOff>
      <xdr:row>61</xdr:row>
      <xdr:rowOff>44824</xdr:rowOff>
    </xdr:to>
    <xdr:sp macro="" textlink="">
      <xdr:nvSpPr>
        <xdr:cNvPr id="2666" name="Flèche vers le bas 266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60</xdr:row>
      <xdr:rowOff>313765</xdr:rowOff>
    </xdr:from>
    <xdr:to>
      <xdr:col>0</xdr:col>
      <xdr:colOff>1165413</xdr:colOff>
      <xdr:row>61</xdr:row>
      <xdr:rowOff>44824</xdr:rowOff>
    </xdr:to>
    <xdr:sp macro="" textlink="">
      <xdr:nvSpPr>
        <xdr:cNvPr id="2667" name="Flèche vers le bas 266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61</xdr:row>
      <xdr:rowOff>313765</xdr:rowOff>
    </xdr:from>
    <xdr:to>
      <xdr:col>0</xdr:col>
      <xdr:colOff>1165413</xdr:colOff>
      <xdr:row>62</xdr:row>
      <xdr:rowOff>44824</xdr:rowOff>
    </xdr:to>
    <xdr:sp macro="" textlink="">
      <xdr:nvSpPr>
        <xdr:cNvPr id="2668" name="Flèche vers le bas 266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61</xdr:row>
      <xdr:rowOff>313765</xdr:rowOff>
    </xdr:from>
    <xdr:to>
      <xdr:col>0</xdr:col>
      <xdr:colOff>1165413</xdr:colOff>
      <xdr:row>62</xdr:row>
      <xdr:rowOff>44824</xdr:rowOff>
    </xdr:to>
    <xdr:sp macro="" textlink="">
      <xdr:nvSpPr>
        <xdr:cNvPr id="2669" name="Flèche vers le bas 266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61</xdr:row>
      <xdr:rowOff>313765</xdr:rowOff>
    </xdr:from>
    <xdr:to>
      <xdr:col>0</xdr:col>
      <xdr:colOff>1165413</xdr:colOff>
      <xdr:row>62</xdr:row>
      <xdr:rowOff>44824</xdr:rowOff>
    </xdr:to>
    <xdr:sp macro="" textlink="">
      <xdr:nvSpPr>
        <xdr:cNvPr id="2670" name="Flèche vers le bas 266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61</xdr:row>
      <xdr:rowOff>313765</xdr:rowOff>
    </xdr:from>
    <xdr:to>
      <xdr:col>0</xdr:col>
      <xdr:colOff>1165413</xdr:colOff>
      <xdr:row>62</xdr:row>
      <xdr:rowOff>44824</xdr:rowOff>
    </xdr:to>
    <xdr:sp macro="" textlink="">
      <xdr:nvSpPr>
        <xdr:cNvPr id="2671" name="Flèche vers le bas 267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61</xdr:row>
      <xdr:rowOff>313765</xdr:rowOff>
    </xdr:from>
    <xdr:to>
      <xdr:col>0</xdr:col>
      <xdr:colOff>1165413</xdr:colOff>
      <xdr:row>62</xdr:row>
      <xdr:rowOff>44824</xdr:rowOff>
    </xdr:to>
    <xdr:sp macro="" textlink="">
      <xdr:nvSpPr>
        <xdr:cNvPr id="2672" name="Flèche vers le bas 267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61</xdr:row>
      <xdr:rowOff>313765</xdr:rowOff>
    </xdr:from>
    <xdr:to>
      <xdr:col>0</xdr:col>
      <xdr:colOff>1165413</xdr:colOff>
      <xdr:row>62</xdr:row>
      <xdr:rowOff>44824</xdr:rowOff>
    </xdr:to>
    <xdr:sp macro="" textlink="">
      <xdr:nvSpPr>
        <xdr:cNvPr id="2673" name="Flèche vers le bas 267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61</xdr:row>
      <xdr:rowOff>313765</xdr:rowOff>
    </xdr:from>
    <xdr:to>
      <xdr:col>0</xdr:col>
      <xdr:colOff>1165413</xdr:colOff>
      <xdr:row>62</xdr:row>
      <xdr:rowOff>44824</xdr:rowOff>
    </xdr:to>
    <xdr:sp macro="" textlink="">
      <xdr:nvSpPr>
        <xdr:cNvPr id="2674" name="Flèche vers le bas 267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61</xdr:row>
      <xdr:rowOff>313765</xdr:rowOff>
    </xdr:from>
    <xdr:to>
      <xdr:col>0</xdr:col>
      <xdr:colOff>1165413</xdr:colOff>
      <xdr:row>62</xdr:row>
      <xdr:rowOff>44824</xdr:rowOff>
    </xdr:to>
    <xdr:sp macro="" textlink="">
      <xdr:nvSpPr>
        <xdr:cNvPr id="2675" name="Flèche vers le bas 267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61</xdr:row>
      <xdr:rowOff>313765</xdr:rowOff>
    </xdr:from>
    <xdr:to>
      <xdr:col>0</xdr:col>
      <xdr:colOff>1165413</xdr:colOff>
      <xdr:row>62</xdr:row>
      <xdr:rowOff>44824</xdr:rowOff>
    </xdr:to>
    <xdr:sp macro="" textlink="">
      <xdr:nvSpPr>
        <xdr:cNvPr id="2676" name="Flèche vers le bas 267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62</xdr:row>
      <xdr:rowOff>313765</xdr:rowOff>
    </xdr:from>
    <xdr:to>
      <xdr:col>0</xdr:col>
      <xdr:colOff>1165413</xdr:colOff>
      <xdr:row>63</xdr:row>
      <xdr:rowOff>44824</xdr:rowOff>
    </xdr:to>
    <xdr:sp macro="" textlink="">
      <xdr:nvSpPr>
        <xdr:cNvPr id="2677" name="Flèche vers le bas 267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62</xdr:row>
      <xdr:rowOff>313765</xdr:rowOff>
    </xdr:from>
    <xdr:to>
      <xdr:col>0</xdr:col>
      <xdr:colOff>1165413</xdr:colOff>
      <xdr:row>63</xdr:row>
      <xdr:rowOff>44824</xdr:rowOff>
    </xdr:to>
    <xdr:sp macro="" textlink="">
      <xdr:nvSpPr>
        <xdr:cNvPr id="2678" name="Flèche vers le bas 267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62</xdr:row>
      <xdr:rowOff>313765</xdr:rowOff>
    </xdr:from>
    <xdr:to>
      <xdr:col>0</xdr:col>
      <xdr:colOff>1165413</xdr:colOff>
      <xdr:row>63</xdr:row>
      <xdr:rowOff>44824</xdr:rowOff>
    </xdr:to>
    <xdr:sp macro="" textlink="">
      <xdr:nvSpPr>
        <xdr:cNvPr id="2679" name="Flèche vers le bas 267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62</xdr:row>
      <xdr:rowOff>313765</xdr:rowOff>
    </xdr:from>
    <xdr:to>
      <xdr:col>0</xdr:col>
      <xdr:colOff>1165413</xdr:colOff>
      <xdr:row>63</xdr:row>
      <xdr:rowOff>44824</xdr:rowOff>
    </xdr:to>
    <xdr:sp macro="" textlink="">
      <xdr:nvSpPr>
        <xdr:cNvPr id="2680" name="Flèche vers le bas 267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62</xdr:row>
      <xdr:rowOff>313765</xdr:rowOff>
    </xdr:from>
    <xdr:to>
      <xdr:col>0</xdr:col>
      <xdr:colOff>1165413</xdr:colOff>
      <xdr:row>63</xdr:row>
      <xdr:rowOff>44824</xdr:rowOff>
    </xdr:to>
    <xdr:sp macro="" textlink="">
      <xdr:nvSpPr>
        <xdr:cNvPr id="2681" name="Flèche vers le bas 268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62</xdr:row>
      <xdr:rowOff>313765</xdr:rowOff>
    </xdr:from>
    <xdr:to>
      <xdr:col>0</xdr:col>
      <xdr:colOff>1165413</xdr:colOff>
      <xdr:row>63</xdr:row>
      <xdr:rowOff>44824</xdr:rowOff>
    </xdr:to>
    <xdr:sp macro="" textlink="">
      <xdr:nvSpPr>
        <xdr:cNvPr id="2682" name="Flèche vers le bas 268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62</xdr:row>
      <xdr:rowOff>313765</xdr:rowOff>
    </xdr:from>
    <xdr:to>
      <xdr:col>0</xdr:col>
      <xdr:colOff>1165413</xdr:colOff>
      <xdr:row>63</xdr:row>
      <xdr:rowOff>44824</xdr:rowOff>
    </xdr:to>
    <xdr:sp macro="" textlink="">
      <xdr:nvSpPr>
        <xdr:cNvPr id="2683" name="Flèche vers le bas 268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62</xdr:row>
      <xdr:rowOff>313765</xdr:rowOff>
    </xdr:from>
    <xdr:to>
      <xdr:col>0</xdr:col>
      <xdr:colOff>1165413</xdr:colOff>
      <xdr:row>63</xdr:row>
      <xdr:rowOff>44824</xdr:rowOff>
    </xdr:to>
    <xdr:sp macro="" textlink="">
      <xdr:nvSpPr>
        <xdr:cNvPr id="2684" name="Flèche vers le bas 268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62</xdr:row>
      <xdr:rowOff>313765</xdr:rowOff>
    </xdr:from>
    <xdr:to>
      <xdr:col>0</xdr:col>
      <xdr:colOff>1165413</xdr:colOff>
      <xdr:row>63</xdr:row>
      <xdr:rowOff>44824</xdr:rowOff>
    </xdr:to>
    <xdr:sp macro="" textlink="">
      <xdr:nvSpPr>
        <xdr:cNvPr id="2685" name="Flèche vers le bas 268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63</xdr:row>
      <xdr:rowOff>313765</xdr:rowOff>
    </xdr:from>
    <xdr:to>
      <xdr:col>0</xdr:col>
      <xdr:colOff>1165413</xdr:colOff>
      <xdr:row>64</xdr:row>
      <xdr:rowOff>44824</xdr:rowOff>
    </xdr:to>
    <xdr:sp macro="" textlink="">
      <xdr:nvSpPr>
        <xdr:cNvPr id="2686" name="Flèche vers le bas 268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63</xdr:row>
      <xdr:rowOff>313765</xdr:rowOff>
    </xdr:from>
    <xdr:to>
      <xdr:col>0</xdr:col>
      <xdr:colOff>1165413</xdr:colOff>
      <xdr:row>64</xdr:row>
      <xdr:rowOff>44824</xdr:rowOff>
    </xdr:to>
    <xdr:sp macro="" textlink="">
      <xdr:nvSpPr>
        <xdr:cNvPr id="2687" name="Flèche vers le bas 268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63</xdr:row>
      <xdr:rowOff>313765</xdr:rowOff>
    </xdr:from>
    <xdr:to>
      <xdr:col>0</xdr:col>
      <xdr:colOff>1165413</xdr:colOff>
      <xdr:row>64</xdr:row>
      <xdr:rowOff>44824</xdr:rowOff>
    </xdr:to>
    <xdr:sp macro="" textlink="">
      <xdr:nvSpPr>
        <xdr:cNvPr id="2688" name="Flèche vers le bas 268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63</xdr:row>
      <xdr:rowOff>313765</xdr:rowOff>
    </xdr:from>
    <xdr:to>
      <xdr:col>0</xdr:col>
      <xdr:colOff>1165413</xdr:colOff>
      <xdr:row>64</xdr:row>
      <xdr:rowOff>44824</xdr:rowOff>
    </xdr:to>
    <xdr:sp macro="" textlink="">
      <xdr:nvSpPr>
        <xdr:cNvPr id="2689" name="Flèche vers le bas 268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63</xdr:row>
      <xdr:rowOff>313765</xdr:rowOff>
    </xdr:from>
    <xdr:to>
      <xdr:col>0</xdr:col>
      <xdr:colOff>1165413</xdr:colOff>
      <xdr:row>64</xdr:row>
      <xdr:rowOff>44824</xdr:rowOff>
    </xdr:to>
    <xdr:sp macro="" textlink="">
      <xdr:nvSpPr>
        <xdr:cNvPr id="2690" name="Flèche vers le bas 268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63</xdr:row>
      <xdr:rowOff>313765</xdr:rowOff>
    </xdr:from>
    <xdr:to>
      <xdr:col>0</xdr:col>
      <xdr:colOff>1165413</xdr:colOff>
      <xdr:row>64</xdr:row>
      <xdr:rowOff>44824</xdr:rowOff>
    </xdr:to>
    <xdr:sp macro="" textlink="">
      <xdr:nvSpPr>
        <xdr:cNvPr id="2691" name="Flèche vers le bas 269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63</xdr:row>
      <xdr:rowOff>313765</xdr:rowOff>
    </xdr:from>
    <xdr:to>
      <xdr:col>0</xdr:col>
      <xdr:colOff>1165413</xdr:colOff>
      <xdr:row>64</xdr:row>
      <xdr:rowOff>44824</xdr:rowOff>
    </xdr:to>
    <xdr:sp macro="" textlink="">
      <xdr:nvSpPr>
        <xdr:cNvPr id="2692" name="Flèche vers le bas 269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63</xdr:row>
      <xdr:rowOff>313765</xdr:rowOff>
    </xdr:from>
    <xdr:to>
      <xdr:col>0</xdr:col>
      <xdr:colOff>1165413</xdr:colOff>
      <xdr:row>64</xdr:row>
      <xdr:rowOff>44824</xdr:rowOff>
    </xdr:to>
    <xdr:sp macro="" textlink="">
      <xdr:nvSpPr>
        <xdr:cNvPr id="2693" name="Flèche vers le bas 269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63</xdr:row>
      <xdr:rowOff>313765</xdr:rowOff>
    </xdr:from>
    <xdr:to>
      <xdr:col>0</xdr:col>
      <xdr:colOff>1165413</xdr:colOff>
      <xdr:row>64</xdr:row>
      <xdr:rowOff>44824</xdr:rowOff>
    </xdr:to>
    <xdr:sp macro="" textlink="">
      <xdr:nvSpPr>
        <xdr:cNvPr id="2694" name="Flèche vers le bas 269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64</xdr:row>
      <xdr:rowOff>313765</xdr:rowOff>
    </xdr:from>
    <xdr:to>
      <xdr:col>0</xdr:col>
      <xdr:colOff>1165413</xdr:colOff>
      <xdr:row>65</xdr:row>
      <xdr:rowOff>44824</xdr:rowOff>
    </xdr:to>
    <xdr:sp macro="" textlink="">
      <xdr:nvSpPr>
        <xdr:cNvPr id="2695" name="Flèche vers le bas 269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64</xdr:row>
      <xdr:rowOff>313765</xdr:rowOff>
    </xdr:from>
    <xdr:to>
      <xdr:col>0</xdr:col>
      <xdr:colOff>1165413</xdr:colOff>
      <xdr:row>65</xdr:row>
      <xdr:rowOff>44824</xdr:rowOff>
    </xdr:to>
    <xdr:sp macro="" textlink="">
      <xdr:nvSpPr>
        <xdr:cNvPr id="2696" name="Flèche vers le bas 269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64</xdr:row>
      <xdr:rowOff>313765</xdr:rowOff>
    </xdr:from>
    <xdr:to>
      <xdr:col>0</xdr:col>
      <xdr:colOff>1165413</xdr:colOff>
      <xdr:row>65</xdr:row>
      <xdr:rowOff>44824</xdr:rowOff>
    </xdr:to>
    <xdr:sp macro="" textlink="">
      <xdr:nvSpPr>
        <xdr:cNvPr id="2697" name="Flèche vers le bas 269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64</xdr:row>
      <xdr:rowOff>313765</xdr:rowOff>
    </xdr:from>
    <xdr:to>
      <xdr:col>0</xdr:col>
      <xdr:colOff>1165413</xdr:colOff>
      <xdr:row>65</xdr:row>
      <xdr:rowOff>44824</xdr:rowOff>
    </xdr:to>
    <xdr:sp macro="" textlink="">
      <xdr:nvSpPr>
        <xdr:cNvPr id="2698" name="Flèche vers le bas 269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64</xdr:row>
      <xdr:rowOff>313765</xdr:rowOff>
    </xdr:from>
    <xdr:to>
      <xdr:col>0</xdr:col>
      <xdr:colOff>1165413</xdr:colOff>
      <xdr:row>65</xdr:row>
      <xdr:rowOff>44824</xdr:rowOff>
    </xdr:to>
    <xdr:sp macro="" textlink="">
      <xdr:nvSpPr>
        <xdr:cNvPr id="2699" name="Flèche vers le bas 269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64</xdr:row>
      <xdr:rowOff>313765</xdr:rowOff>
    </xdr:from>
    <xdr:to>
      <xdr:col>0</xdr:col>
      <xdr:colOff>1165413</xdr:colOff>
      <xdr:row>65</xdr:row>
      <xdr:rowOff>44824</xdr:rowOff>
    </xdr:to>
    <xdr:sp macro="" textlink="">
      <xdr:nvSpPr>
        <xdr:cNvPr id="2700" name="Flèche vers le bas 269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64</xdr:row>
      <xdr:rowOff>313765</xdr:rowOff>
    </xdr:from>
    <xdr:to>
      <xdr:col>0</xdr:col>
      <xdr:colOff>1165413</xdr:colOff>
      <xdr:row>65</xdr:row>
      <xdr:rowOff>44824</xdr:rowOff>
    </xdr:to>
    <xdr:sp macro="" textlink="">
      <xdr:nvSpPr>
        <xdr:cNvPr id="2701" name="Flèche vers le bas 270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64</xdr:row>
      <xdr:rowOff>313765</xdr:rowOff>
    </xdr:from>
    <xdr:to>
      <xdr:col>0</xdr:col>
      <xdr:colOff>1165413</xdr:colOff>
      <xdr:row>65</xdr:row>
      <xdr:rowOff>44824</xdr:rowOff>
    </xdr:to>
    <xdr:sp macro="" textlink="">
      <xdr:nvSpPr>
        <xdr:cNvPr id="2702" name="Flèche vers le bas 270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64</xdr:row>
      <xdr:rowOff>313765</xdr:rowOff>
    </xdr:from>
    <xdr:to>
      <xdr:col>0</xdr:col>
      <xdr:colOff>1165413</xdr:colOff>
      <xdr:row>65</xdr:row>
      <xdr:rowOff>44824</xdr:rowOff>
    </xdr:to>
    <xdr:sp macro="" textlink="">
      <xdr:nvSpPr>
        <xdr:cNvPr id="2703" name="Flèche vers le bas 270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65</xdr:row>
      <xdr:rowOff>313765</xdr:rowOff>
    </xdr:from>
    <xdr:to>
      <xdr:col>0</xdr:col>
      <xdr:colOff>1165413</xdr:colOff>
      <xdr:row>66</xdr:row>
      <xdr:rowOff>44824</xdr:rowOff>
    </xdr:to>
    <xdr:sp macro="" textlink="">
      <xdr:nvSpPr>
        <xdr:cNvPr id="2704" name="Flèche vers le bas 270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65</xdr:row>
      <xdr:rowOff>313765</xdr:rowOff>
    </xdr:from>
    <xdr:to>
      <xdr:col>0</xdr:col>
      <xdr:colOff>1165413</xdr:colOff>
      <xdr:row>66</xdr:row>
      <xdr:rowOff>44824</xdr:rowOff>
    </xdr:to>
    <xdr:sp macro="" textlink="">
      <xdr:nvSpPr>
        <xdr:cNvPr id="2705" name="Flèche vers le bas 270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65</xdr:row>
      <xdr:rowOff>313765</xdr:rowOff>
    </xdr:from>
    <xdr:to>
      <xdr:col>0</xdr:col>
      <xdr:colOff>1165413</xdr:colOff>
      <xdr:row>66</xdr:row>
      <xdr:rowOff>44824</xdr:rowOff>
    </xdr:to>
    <xdr:sp macro="" textlink="">
      <xdr:nvSpPr>
        <xdr:cNvPr id="2706" name="Flèche vers le bas 270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65</xdr:row>
      <xdr:rowOff>313765</xdr:rowOff>
    </xdr:from>
    <xdr:to>
      <xdr:col>0</xdr:col>
      <xdr:colOff>1165413</xdr:colOff>
      <xdr:row>66</xdr:row>
      <xdr:rowOff>44824</xdr:rowOff>
    </xdr:to>
    <xdr:sp macro="" textlink="">
      <xdr:nvSpPr>
        <xdr:cNvPr id="2707" name="Flèche vers le bas 270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65</xdr:row>
      <xdr:rowOff>313765</xdr:rowOff>
    </xdr:from>
    <xdr:to>
      <xdr:col>0</xdr:col>
      <xdr:colOff>1165413</xdr:colOff>
      <xdr:row>66</xdr:row>
      <xdr:rowOff>44824</xdr:rowOff>
    </xdr:to>
    <xdr:sp macro="" textlink="">
      <xdr:nvSpPr>
        <xdr:cNvPr id="2708" name="Flèche vers le bas 270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65</xdr:row>
      <xdr:rowOff>313765</xdr:rowOff>
    </xdr:from>
    <xdr:to>
      <xdr:col>0</xdr:col>
      <xdr:colOff>1165413</xdr:colOff>
      <xdr:row>66</xdr:row>
      <xdr:rowOff>44824</xdr:rowOff>
    </xdr:to>
    <xdr:sp macro="" textlink="">
      <xdr:nvSpPr>
        <xdr:cNvPr id="2709" name="Flèche vers le bas 270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65</xdr:row>
      <xdr:rowOff>313765</xdr:rowOff>
    </xdr:from>
    <xdr:to>
      <xdr:col>0</xdr:col>
      <xdr:colOff>1165413</xdr:colOff>
      <xdr:row>66</xdr:row>
      <xdr:rowOff>44824</xdr:rowOff>
    </xdr:to>
    <xdr:sp macro="" textlink="">
      <xdr:nvSpPr>
        <xdr:cNvPr id="2710" name="Flèche vers le bas 270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65</xdr:row>
      <xdr:rowOff>313765</xdr:rowOff>
    </xdr:from>
    <xdr:to>
      <xdr:col>0</xdr:col>
      <xdr:colOff>1165413</xdr:colOff>
      <xdr:row>66</xdr:row>
      <xdr:rowOff>44824</xdr:rowOff>
    </xdr:to>
    <xdr:sp macro="" textlink="">
      <xdr:nvSpPr>
        <xdr:cNvPr id="2711" name="Flèche vers le bas 271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65</xdr:row>
      <xdr:rowOff>313765</xdr:rowOff>
    </xdr:from>
    <xdr:to>
      <xdr:col>0</xdr:col>
      <xdr:colOff>1165413</xdr:colOff>
      <xdr:row>66</xdr:row>
      <xdr:rowOff>44824</xdr:rowOff>
    </xdr:to>
    <xdr:sp macro="" textlink="">
      <xdr:nvSpPr>
        <xdr:cNvPr id="2712" name="Flèche vers le bas 271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66</xdr:row>
      <xdr:rowOff>313765</xdr:rowOff>
    </xdr:from>
    <xdr:to>
      <xdr:col>0</xdr:col>
      <xdr:colOff>1165413</xdr:colOff>
      <xdr:row>67</xdr:row>
      <xdr:rowOff>44824</xdr:rowOff>
    </xdr:to>
    <xdr:sp macro="" textlink="">
      <xdr:nvSpPr>
        <xdr:cNvPr id="2713" name="Flèche vers le bas 271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66</xdr:row>
      <xdr:rowOff>313765</xdr:rowOff>
    </xdr:from>
    <xdr:to>
      <xdr:col>0</xdr:col>
      <xdr:colOff>1165413</xdr:colOff>
      <xdr:row>67</xdr:row>
      <xdr:rowOff>44824</xdr:rowOff>
    </xdr:to>
    <xdr:sp macro="" textlink="">
      <xdr:nvSpPr>
        <xdr:cNvPr id="2714" name="Flèche vers le bas 271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66</xdr:row>
      <xdr:rowOff>313765</xdr:rowOff>
    </xdr:from>
    <xdr:to>
      <xdr:col>0</xdr:col>
      <xdr:colOff>1165413</xdr:colOff>
      <xdr:row>67</xdr:row>
      <xdr:rowOff>44824</xdr:rowOff>
    </xdr:to>
    <xdr:sp macro="" textlink="">
      <xdr:nvSpPr>
        <xdr:cNvPr id="2715" name="Flèche vers le bas 271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66</xdr:row>
      <xdr:rowOff>313765</xdr:rowOff>
    </xdr:from>
    <xdr:to>
      <xdr:col>0</xdr:col>
      <xdr:colOff>1165413</xdr:colOff>
      <xdr:row>67</xdr:row>
      <xdr:rowOff>44824</xdr:rowOff>
    </xdr:to>
    <xdr:sp macro="" textlink="">
      <xdr:nvSpPr>
        <xdr:cNvPr id="2716" name="Flèche vers le bas 271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66</xdr:row>
      <xdr:rowOff>313765</xdr:rowOff>
    </xdr:from>
    <xdr:to>
      <xdr:col>0</xdr:col>
      <xdr:colOff>1165413</xdr:colOff>
      <xdr:row>67</xdr:row>
      <xdr:rowOff>44824</xdr:rowOff>
    </xdr:to>
    <xdr:sp macro="" textlink="">
      <xdr:nvSpPr>
        <xdr:cNvPr id="2717" name="Flèche vers le bas 271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66</xdr:row>
      <xdr:rowOff>313765</xdr:rowOff>
    </xdr:from>
    <xdr:to>
      <xdr:col>0</xdr:col>
      <xdr:colOff>1165413</xdr:colOff>
      <xdr:row>67</xdr:row>
      <xdr:rowOff>44824</xdr:rowOff>
    </xdr:to>
    <xdr:sp macro="" textlink="">
      <xdr:nvSpPr>
        <xdr:cNvPr id="2718" name="Flèche vers le bas 271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66</xdr:row>
      <xdr:rowOff>313765</xdr:rowOff>
    </xdr:from>
    <xdr:to>
      <xdr:col>0</xdr:col>
      <xdr:colOff>1165413</xdr:colOff>
      <xdr:row>67</xdr:row>
      <xdr:rowOff>44824</xdr:rowOff>
    </xdr:to>
    <xdr:sp macro="" textlink="">
      <xdr:nvSpPr>
        <xdr:cNvPr id="2719" name="Flèche vers le bas 271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66</xdr:row>
      <xdr:rowOff>313765</xdr:rowOff>
    </xdr:from>
    <xdr:to>
      <xdr:col>0</xdr:col>
      <xdr:colOff>1165413</xdr:colOff>
      <xdr:row>67</xdr:row>
      <xdr:rowOff>44824</xdr:rowOff>
    </xdr:to>
    <xdr:sp macro="" textlink="">
      <xdr:nvSpPr>
        <xdr:cNvPr id="2720" name="Flèche vers le bas 271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66</xdr:row>
      <xdr:rowOff>313765</xdr:rowOff>
    </xdr:from>
    <xdr:to>
      <xdr:col>0</xdr:col>
      <xdr:colOff>1165413</xdr:colOff>
      <xdr:row>67</xdr:row>
      <xdr:rowOff>44824</xdr:rowOff>
    </xdr:to>
    <xdr:sp macro="" textlink="">
      <xdr:nvSpPr>
        <xdr:cNvPr id="2721" name="Flèche vers le bas 272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67</xdr:row>
      <xdr:rowOff>313765</xdr:rowOff>
    </xdr:from>
    <xdr:to>
      <xdr:col>0</xdr:col>
      <xdr:colOff>1165413</xdr:colOff>
      <xdr:row>68</xdr:row>
      <xdr:rowOff>44824</xdr:rowOff>
    </xdr:to>
    <xdr:sp macro="" textlink="">
      <xdr:nvSpPr>
        <xdr:cNvPr id="2722" name="Flèche vers le bas 272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67</xdr:row>
      <xdr:rowOff>313765</xdr:rowOff>
    </xdr:from>
    <xdr:to>
      <xdr:col>0</xdr:col>
      <xdr:colOff>1165413</xdr:colOff>
      <xdr:row>68</xdr:row>
      <xdr:rowOff>44824</xdr:rowOff>
    </xdr:to>
    <xdr:sp macro="" textlink="">
      <xdr:nvSpPr>
        <xdr:cNvPr id="2723" name="Flèche vers le bas 272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67</xdr:row>
      <xdr:rowOff>313765</xdr:rowOff>
    </xdr:from>
    <xdr:to>
      <xdr:col>0</xdr:col>
      <xdr:colOff>1165413</xdr:colOff>
      <xdr:row>68</xdr:row>
      <xdr:rowOff>44824</xdr:rowOff>
    </xdr:to>
    <xdr:sp macro="" textlink="">
      <xdr:nvSpPr>
        <xdr:cNvPr id="2724" name="Flèche vers le bas 272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67</xdr:row>
      <xdr:rowOff>313765</xdr:rowOff>
    </xdr:from>
    <xdr:to>
      <xdr:col>0</xdr:col>
      <xdr:colOff>1165413</xdr:colOff>
      <xdr:row>68</xdr:row>
      <xdr:rowOff>44824</xdr:rowOff>
    </xdr:to>
    <xdr:sp macro="" textlink="">
      <xdr:nvSpPr>
        <xdr:cNvPr id="2725" name="Flèche vers le bas 272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67</xdr:row>
      <xdr:rowOff>313765</xdr:rowOff>
    </xdr:from>
    <xdr:to>
      <xdr:col>0</xdr:col>
      <xdr:colOff>1165413</xdr:colOff>
      <xdr:row>68</xdr:row>
      <xdr:rowOff>44824</xdr:rowOff>
    </xdr:to>
    <xdr:sp macro="" textlink="">
      <xdr:nvSpPr>
        <xdr:cNvPr id="2726" name="Flèche vers le bas 272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67</xdr:row>
      <xdr:rowOff>313765</xdr:rowOff>
    </xdr:from>
    <xdr:to>
      <xdr:col>0</xdr:col>
      <xdr:colOff>1165413</xdr:colOff>
      <xdr:row>68</xdr:row>
      <xdr:rowOff>44824</xdr:rowOff>
    </xdr:to>
    <xdr:sp macro="" textlink="">
      <xdr:nvSpPr>
        <xdr:cNvPr id="2727" name="Flèche vers le bas 272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67</xdr:row>
      <xdr:rowOff>313765</xdr:rowOff>
    </xdr:from>
    <xdr:to>
      <xdr:col>0</xdr:col>
      <xdr:colOff>1165413</xdr:colOff>
      <xdr:row>68</xdr:row>
      <xdr:rowOff>44824</xdr:rowOff>
    </xdr:to>
    <xdr:sp macro="" textlink="">
      <xdr:nvSpPr>
        <xdr:cNvPr id="2728" name="Flèche vers le bas 272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67</xdr:row>
      <xdr:rowOff>313765</xdr:rowOff>
    </xdr:from>
    <xdr:to>
      <xdr:col>0</xdr:col>
      <xdr:colOff>1165413</xdr:colOff>
      <xdr:row>68</xdr:row>
      <xdr:rowOff>44824</xdr:rowOff>
    </xdr:to>
    <xdr:sp macro="" textlink="">
      <xdr:nvSpPr>
        <xdr:cNvPr id="2729" name="Flèche vers le bas 272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67</xdr:row>
      <xdr:rowOff>313765</xdr:rowOff>
    </xdr:from>
    <xdr:to>
      <xdr:col>0</xdr:col>
      <xdr:colOff>1165413</xdr:colOff>
      <xdr:row>68</xdr:row>
      <xdr:rowOff>44824</xdr:rowOff>
    </xdr:to>
    <xdr:sp macro="" textlink="">
      <xdr:nvSpPr>
        <xdr:cNvPr id="2730" name="Flèche vers le bas 272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68</xdr:row>
      <xdr:rowOff>313765</xdr:rowOff>
    </xdr:from>
    <xdr:to>
      <xdr:col>0</xdr:col>
      <xdr:colOff>1165413</xdr:colOff>
      <xdr:row>69</xdr:row>
      <xdr:rowOff>44824</xdr:rowOff>
    </xdr:to>
    <xdr:sp macro="" textlink="">
      <xdr:nvSpPr>
        <xdr:cNvPr id="2731" name="Flèche vers le bas 273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68</xdr:row>
      <xdr:rowOff>313765</xdr:rowOff>
    </xdr:from>
    <xdr:to>
      <xdr:col>0</xdr:col>
      <xdr:colOff>1165413</xdr:colOff>
      <xdr:row>69</xdr:row>
      <xdr:rowOff>44824</xdr:rowOff>
    </xdr:to>
    <xdr:sp macro="" textlink="">
      <xdr:nvSpPr>
        <xdr:cNvPr id="2732" name="Flèche vers le bas 273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68</xdr:row>
      <xdr:rowOff>313765</xdr:rowOff>
    </xdr:from>
    <xdr:to>
      <xdr:col>0</xdr:col>
      <xdr:colOff>1165413</xdr:colOff>
      <xdr:row>69</xdr:row>
      <xdr:rowOff>44824</xdr:rowOff>
    </xdr:to>
    <xdr:sp macro="" textlink="">
      <xdr:nvSpPr>
        <xdr:cNvPr id="2733" name="Flèche vers le bas 273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68</xdr:row>
      <xdr:rowOff>313765</xdr:rowOff>
    </xdr:from>
    <xdr:to>
      <xdr:col>0</xdr:col>
      <xdr:colOff>1165413</xdr:colOff>
      <xdr:row>69</xdr:row>
      <xdr:rowOff>44824</xdr:rowOff>
    </xdr:to>
    <xdr:sp macro="" textlink="">
      <xdr:nvSpPr>
        <xdr:cNvPr id="2734" name="Flèche vers le bas 273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68</xdr:row>
      <xdr:rowOff>313765</xdr:rowOff>
    </xdr:from>
    <xdr:to>
      <xdr:col>0</xdr:col>
      <xdr:colOff>1165413</xdr:colOff>
      <xdr:row>69</xdr:row>
      <xdr:rowOff>44824</xdr:rowOff>
    </xdr:to>
    <xdr:sp macro="" textlink="">
      <xdr:nvSpPr>
        <xdr:cNvPr id="2735" name="Flèche vers le bas 273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68</xdr:row>
      <xdr:rowOff>313765</xdr:rowOff>
    </xdr:from>
    <xdr:to>
      <xdr:col>0</xdr:col>
      <xdr:colOff>1165413</xdr:colOff>
      <xdr:row>69</xdr:row>
      <xdr:rowOff>44824</xdr:rowOff>
    </xdr:to>
    <xdr:sp macro="" textlink="">
      <xdr:nvSpPr>
        <xdr:cNvPr id="2736" name="Flèche vers le bas 273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68</xdr:row>
      <xdr:rowOff>313765</xdr:rowOff>
    </xdr:from>
    <xdr:to>
      <xdr:col>0</xdr:col>
      <xdr:colOff>1165413</xdr:colOff>
      <xdr:row>69</xdr:row>
      <xdr:rowOff>44824</xdr:rowOff>
    </xdr:to>
    <xdr:sp macro="" textlink="">
      <xdr:nvSpPr>
        <xdr:cNvPr id="2737" name="Flèche vers le bas 273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68</xdr:row>
      <xdr:rowOff>313765</xdr:rowOff>
    </xdr:from>
    <xdr:to>
      <xdr:col>0</xdr:col>
      <xdr:colOff>1165413</xdr:colOff>
      <xdr:row>69</xdr:row>
      <xdr:rowOff>44824</xdr:rowOff>
    </xdr:to>
    <xdr:sp macro="" textlink="">
      <xdr:nvSpPr>
        <xdr:cNvPr id="2738" name="Flèche vers le bas 273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68</xdr:row>
      <xdr:rowOff>313765</xdr:rowOff>
    </xdr:from>
    <xdr:to>
      <xdr:col>0</xdr:col>
      <xdr:colOff>1165413</xdr:colOff>
      <xdr:row>69</xdr:row>
      <xdr:rowOff>44824</xdr:rowOff>
    </xdr:to>
    <xdr:sp macro="" textlink="">
      <xdr:nvSpPr>
        <xdr:cNvPr id="2739" name="Flèche vers le bas 273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69</xdr:row>
      <xdr:rowOff>313765</xdr:rowOff>
    </xdr:from>
    <xdr:to>
      <xdr:col>0</xdr:col>
      <xdr:colOff>1165413</xdr:colOff>
      <xdr:row>70</xdr:row>
      <xdr:rowOff>44824</xdr:rowOff>
    </xdr:to>
    <xdr:sp macro="" textlink="">
      <xdr:nvSpPr>
        <xdr:cNvPr id="2740" name="Flèche vers le bas 273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69</xdr:row>
      <xdr:rowOff>313765</xdr:rowOff>
    </xdr:from>
    <xdr:to>
      <xdr:col>0</xdr:col>
      <xdr:colOff>1165413</xdr:colOff>
      <xdr:row>70</xdr:row>
      <xdr:rowOff>44824</xdr:rowOff>
    </xdr:to>
    <xdr:sp macro="" textlink="">
      <xdr:nvSpPr>
        <xdr:cNvPr id="2741" name="Flèche vers le bas 274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69</xdr:row>
      <xdr:rowOff>313765</xdr:rowOff>
    </xdr:from>
    <xdr:to>
      <xdr:col>0</xdr:col>
      <xdr:colOff>1165413</xdr:colOff>
      <xdr:row>70</xdr:row>
      <xdr:rowOff>44824</xdr:rowOff>
    </xdr:to>
    <xdr:sp macro="" textlink="">
      <xdr:nvSpPr>
        <xdr:cNvPr id="2742" name="Flèche vers le bas 274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69</xdr:row>
      <xdr:rowOff>313765</xdr:rowOff>
    </xdr:from>
    <xdr:to>
      <xdr:col>0</xdr:col>
      <xdr:colOff>1165413</xdr:colOff>
      <xdr:row>70</xdr:row>
      <xdr:rowOff>44824</xdr:rowOff>
    </xdr:to>
    <xdr:sp macro="" textlink="">
      <xdr:nvSpPr>
        <xdr:cNvPr id="2743" name="Flèche vers le bas 274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69</xdr:row>
      <xdr:rowOff>313765</xdr:rowOff>
    </xdr:from>
    <xdr:to>
      <xdr:col>0</xdr:col>
      <xdr:colOff>1165413</xdr:colOff>
      <xdr:row>70</xdr:row>
      <xdr:rowOff>44824</xdr:rowOff>
    </xdr:to>
    <xdr:sp macro="" textlink="">
      <xdr:nvSpPr>
        <xdr:cNvPr id="2744" name="Flèche vers le bas 274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69</xdr:row>
      <xdr:rowOff>313765</xdr:rowOff>
    </xdr:from>
    <xdr:to>
      <xdr:col>0</xdr:col>
      <xdr:colOff>1165413</xdr:colOff>
      <xdr:row>70</xdr:row>
      <xdr:rowOff>44824</xdr:rowOff>
    </xdr:to>
    <xdr:sp macro="" textlink="">
      <xdr:nvSpPr>
        <xdr:cNvPr id="2745" name="Flèche vers le bas 274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69</xdr:row>
      <xdr:rowOff>313765</xdr:rowOff>
    </xdr:from>
    <xdr:to>
      <xdr:col>0</xdr:col>
      <xdr:colOff>1165413</xdr:colOff>
      <xdr:row>70</xdr:row>
      <xdr:rowOff>44824</xdr:rowOff>
    </xdr:to>
    <xdr:sp macro="" textlink="">
      <xdr:nvSpPr>
        <xdr:cNvPr id="2746" name="Flèche vers le bas 274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69</xdr:row>
      <xdr:rowOff>313765</xdr:rowOff>
    </xdr:from>
    <xdr:to>
      <xdr:col>0</xdr:col>
      <xdr:colOff>1165413</xdr:colOff>
      <xdr:row>70</xdr:row>
      <xdr:rowOff>44824</xdr:rowOff>
    </xdr:to>
    <xdr:sp macro="" textlink="">
      <xdr:nvSpPr>
        <xdr:cNvPr id="2747" name="Flèche vers le bas 274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69</xdr:row>
      <xdr:rowOff>313765</xdr:rowOff>
    </xdr:from>
    <xdr:to>
      <xdr:col>0</xdr:col>
      <xdr:colOff>1165413</xdr:colOff>
      <xdr:row>70</xdr:row>
      <xdr:rowOff>44824</xdr:rowOff>
    </xdr:to>
    <xdr:sp macro="" textlink="">
      <xdr:nvSpPr>
        <xdr:cNvPr id="2748" name="Flèche vers le bas 274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70</xdr:row>
      <xdr:rowOff>313765</xdr:rowOff>
    </xdr:from>
    <xdr:to>
      <xdr:col>0</xdr:col>
      <xdr:colOff>1165413</xdr:colOff>
      <xdr:row>71</xdr:row>
      <xdr:rowOff>44824</xdr:rowOff>
    </xdr:to>
    <xdr:sp macro="" textlink="">
      <xdr:nvSpPr>
        <xdr:cNvPr id="2749" name="Flèche vers le bas 274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70</xdr:row>
      <xdr:rowOff>313765</xdr:rowOff>
    </xdr:from>
    <xdr:to>
      <xdr:col>0</xdr:col>
      <xdr:colOff>1165413</xdr:colOff>
      <xdr:row>71</xdr:row>
      <xdr:rowOff>44824</xdr:rowOff>
    </xdr:to>
    <xdr:sp macro="" textlink="">
      <xdr:nvSpPr>
        <xdr:cNvPr id="2750" name="Flèche vers le bas 274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70</xdr:row>
      <xdr:rowOff>313765</xdr:rowOff>
    </xdr:from>
    <xdr:to>
      <xdr:col>0</xdr:col>
      <xdr:colOff>1165413</xdr:colOff>
      <xdr:row>71</xdr:row>
      <xdr:rowOff>44824</xdr:rowOff>
    </xdr:to>
    <xdr:sp macro="" textlink="">
      <xdr:nvSpPr>
        <xdr:cNvPr id="2751" name="Flèche vers le bas 275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70</xdr:row>
      <xdr:rowOff>313765</xdr:rowOff>
    </xdr:from>
    <xdr:to>
      <xdr:col>0</xdr:col>
      <xdr:colOff>1165413</xdr:colOff>
      <xdr:row>71</xdr:row>
      <xdr:rowOff>44824</xdr:rowOff>
    </xdr:to>
    <xdr:sp macro="" textlink="">
      <xdr:nvSpPr>
        <xdr:cNvPr id="2752" name="Flèche vers le bas 275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70</xdr:row>
      <xdr:rowOff>313765</xdr:rowOff>
    </xdr:from>
    <xdr:to>
      <xdr:col>0</xdr:col>
      <xdr:colOff>1165413</xdr:colOff>
      <xdr:row>71</xdr:row>
      <xdr:rowOff>44824</xdr:rowOff>
    </xdr:to>
    <xdr:sp macro="" textlink="">
      <xdr:nvSpPr>
        <xdr:cNvPr id="2753" name="Flèche vers le bas 275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70</xdr:row>
      <xdr:rowOff>313765</xdr:rowOff>
    </xdr:from>
    <xdr:to>
      <xdr:col>0</xdr:col>
      <xdr:colOff>1165413</xdr:colOff>
      <xdr:row>71</xdr:row>
      <xdr:rowOff>44824</xdr:rowOff>
    </xdr:to>
    <xdr:sp macro="" textlink="">
      <xdr:nvSpPr>
        <xdr:cNvPr id="2754" name="Flèche vers le bas 275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70</xdr:row>
      <xdr:rowOff>313765</xdr:rowOff>
    </xdr:from>
    <xdr:to>
      <xdr:col>0</xdr:col>
      <xdr:colOff>1165413</xdr:colOff>
      <xdr:row>71</xdr:row>
      <xdr:rowOff>44824</xdr:rowOff>
    </xdr:to>
    <xdr:sp macro="" textlink="">
      <xdr:nvSpPr>
        <xdr:cNvPr id="2755" name="Flèche vers le bas 275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70</xdr:row>
      <xdr:rowOff>313765</xdr:rowOff>
    </xdr:from>
    <xdr:to>
      <xdr:col>0</xdr:col>
      <xdr:colOff>1165413</xdr:colOff>
      <xdr:row>71</xdr:row>
      <xdr:rowOff>44824</xdr:rowOff>
    </xdr:to>
    <xdr:sp macro="" textlink="">
      <xdr:nvSpPr>
        <xdr:cNvPr id="2756" name="Flèche vers le bas 275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70</xdr:row>
      <xdr:rowOff>313765</xdr:rowOff>
    </xdr:from>
    <xdr:to>
      <xdr:col>0</xdr:col>
      <xdr:colOff>1165413</xdr:colOff>
      <xdr:row>71</xdr:row>
      <xdr:rowOff>44824</xdr:rowOff>
    </xdr:to>
    <xdr:sp macro="" textlink="">
      <xdr:nvSpPr>
        <xdr:cNvPr id="2757" name="Flèche vers le bas 275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71</xdr:row>
      <xdr:rowOff>313765</xdr:rowOff>
    </xdr:from>
    <xdr:to>
      <xdr:col>0</xdr:col>
      <xdr:colOff>1165413</xdr:colOff>
      <xdr:row>72</xdr:row>
      <xdr:rowOff>44824</xdr:rowOff>
    </xdr:to>
    <xdr:sp macro="" textlink="">
      <xdr:nvSpPr>
        <xdr:cNvPr id="2758" name="Flèche vers le bas 275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71</xdr:row>
      <xdr:rowOff>313765</xdr:rowOff>
    </xdr:from>
    <xdr:to>
      <xdr:col>0</xdr:col>
      <xdr:colOff>1165413</xdr:colOff>
      <xdr:row>72</xdr:row>
      <xdr:rowOff>44824</xdr:rowOff>
    </xdr:to>
    <xdr:sp macro="" textlink="">
      <xdr:nvSpPr>
        <xdr:cNvPr id="2759" name="Flèche vers le bas 275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71</xdr:row>
      <xdr:rowOff>313765</xdr:rowOff>
    </xdr:from>
    <xdr:to>
      <xdr:col>0</xdr:col>
      <xdr:colOff>1165413</xdr:colOff>
      <xdr:row>72</xdr:row>
      <xdr:rowOff>44824</xdr:rowOff>
    </xdr:to>
    <xdr:sp macro="" textlink="">
      <xdr:nvSpPr>
        <xdr:cNvPr id="2760" name="Flèche vers le bas 275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71</xdr:row>
      <xdr:rowOff>313765</xdr:rowOff>
    </xdr:from>
    <xdr:to>
      <xdr:col>0</xdr:col>
      <xdr:colOff>1165413</xdr:colOff>
      <xdr:row>72</xdr:row>
      <xdr:rowOff>44824</xdr:rowOff>
    </xdr:to>
    <xdr:sp macro="" textlink="">
      <xdr:nvSpPr>
        <xdr:cNvPr id="2761" name="Flèche vers le bas 276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71</xdr:row>
      <xdr:rowOff>313765</xdr:rowOff>
    </xdr:from>
    <xdr:to>
      <xdr:col>0</xdr:col>
      <xdr:colOff>1165413</xdr:colOff>
      <xdr:row>72</xdr:row>
      <xdr:rowOff>44824</xdr:rowOff>
    </xdr:to>
    <xdr:sp macro="" textlink="">
      <xdr:nvSpPr>
        <xdr:cNvPr id="2762" name="Flèche vers le bas 276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71</xdr:row>
      <xdr:rowOff>313765</xdr:rowOff>
    </xdr:from>
    <xdr:to>
      <xdr:col>0</xdr:col>
      <xdr:colOff>1165413</xdr:colOff>
      <xdr:row>72</xdr:row>
      <xdr:rowOff>44824</xdr:rowOff>
    </xdr:to>
    <xdr:sp macro="" textlink="">
      <xdr:nvSpPr>
        <xdr:cNvPr id="2763" name="Flèche vers le bas 276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71</xdr:row>
      <xdr:rowOff>313765</xdr:rowOff>
    </xdr:from>
    <xdr:to>
      <xdr:col>0</xdr:col>
      <xdr:colOff>1165413</xdr:colOff>
      <xdr:row>72</xdr:row>
      <xdr:rowOff>44824</xdr:rowOff>
    </xdr:to>
    <xdr:sp macro="" textlink="">
      <xdr:nvSpPr>
        <xdr:cNvPr id="2764" name="Flèche vers le bas 276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71</xdr:row>
      <xdr:rowOff>313765</xdr:rowOff>
    </xdr:from>
    <xdr:to>
      <xdr:col>0</xdr:col>
      <xdr:colOff>1165413</xdr:colOff>
      <xdr:row>72</xdr:row>
      <xdr:rowOff>44824</xdr:rowOff>
    </xdr:to>
    <xdr:sp macro="" textlink="">
      <xdr:nvSpPr>
        <xdr:cNvPr id="2765" name="Flèche vers le bas 276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71</xdr:row>
      <xdr:rowOff>313765</xdr:rowOff>
    </xdr:from>
    <xdr:to>
      <xdr:col>0</xdr:col>
      <xdr:colOff>1165413</xdr:colOff>
      <xdr:row>72</xdr:row>
      <xdr:rowOff>44824</xdr:rowOff>
    </xdr:to>
    <xdr:sp macro="" textlink="">
      <xdr:nvSpPr>
        <xdr:cNvPr id="2766" name="Flèche vers le bas 276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72</xdr:row>
      <xdr:rowOff>313765</xdr:rowOff>
    </xdr:from>
    <xdr:to>
      <xdr:col>0</xdr:col>
      <xdr:colOff>1165413</xdr:colOff>
      <xdr:row>73</xdr:row>
      <xdr:rowOff>44824</xdr:rowOff>
    </xdr:to>
    <xdr:sp macro="" textlink="">
      <xdr:nvSpPr>
        <xdr:cNvPr id="2767" name="Flèche vers le bas 276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72</xdr:row>
      <xdr:rowOff>313765</xdr:rowOff>
    </xdr:from>
    <xdr:to>
      <xdr:col>0</xdr:col>
      <xdr:colOff>1165413</xdr:colOff>
      <xdr:row>73</xdr:row>
      <xdr:rowOff>44824</xdr:rowOff>
    </xdr:to>
    <xdr:sp macro="" textlink="">
      <xdr:nvSpPr>
        <xdr:cNvPr id="2768" name="Flèche vers le bas 276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72</xdr:row>
      <xdr:rowOff>313765</xdr:rowOff>
    </xdr:from>
    <xdr:to>
      <xdr:col>0</xdr:col>
      <xdr:colOff>1165413</xdr:colOff>
      <xdr:row>73</xdr:row>
      <xdr:rowOff>44824</xdr:rowOff>
    </xdr:to>
    <xdr:sp macro="" textlink="">
      <xdr:nvSpPr>
        <xdr:cNvPr id="2769" name="Flèche vers le bas 276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72</xdr:row>
      <xdr:rowOff>313765</xdr:rowOff>
    </xdr:from>
    <xdr:to>
      <xdr:col>0</xdr:col>
      <xdr:colOff>1165413</xdr:colOff>
      <xdr:row>73</xdr:row>
      <xdr:rowOff>44824</xdr:rowOff>
    </xdr:to>
    <xdr:sp macro="" textlink="">
      <xdr:nvSpPr>
        <xdr:cNvPr id="2770" name="Flèche vers le bas 276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72</xdr:row>
      <xdr:rowOff>313765</xdr:rowOff>
    </xdr:from>
    <xdr:to>
      <xdr:col>0</xdr:col>
      <xdr:colOff>1165413</xdr:colOff>
      <xdr:row>73</xdr:row>
      <xdr:rowOff>44824</xdr:rowOff>
    </xdr:to>
    <xdr:sp macro="" textlink="">
      <xdr:nvSpPr>
        <xdr:cNvPr id="2771" name="Flèche vers le bas 277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72</xdr:row>
      <xdr:rowOff>313765</xdr:rowOff>
    </xdr:from>
    <xdr:to>
      <xdr:col>0</xdr:col>
      <xdr:colOff>1165413</xdr:colOff>
      <xdr:row>73</xdr:row>
      <xdr:rowOff>44824</xdr:rowOff>
    </xdr:to>
    <xdr:sp macro="" textlink="">
      <xdr:nvSpPr>
        <xdr:cNvPr id="2772" name="Flèche vers le bas 277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72</xdr:row>
      <xdr:rowOff>313765</xdr:rowOff>
    </xdr:from>
    <xdr:to>
      <xdr:col>0</xdr:col>
      <xdr:colOff>1165413</xdr:colOff>
      <xdr:row>73</xdr:row>
      <xdr:rowOff>44824</xdr:rowOff>
    </xdr:to>
    <xdr:sp macro="" textlink="">
      <xdr:nvSpPr>
        <xdr:cNvPr id="2773" name="Flèche vers le bas 277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72</xdr:row>
      <xdr:rowOff>313765</xdr:rowOff>
    </xdr:from>
    <xdr:to>
      <xdr:col>0</xdr:col>
      <xdr:colOff>1165413</xdr:colOff>
      <xdr:row>73</xdr:row>
      <xdr:rowOff>44824</xdr:rowOff>
    </xdr:to>
    <xdr:sp macro="" textlink="">
      <xdr:nvSpPr>
        <xdr:cNvPr id="2774" name="Flèche vers le bas 277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72</xdr:row>
      <xdr:rowOff>313765</xdr:rowOff>
    </xdr:from>
    <xdr:to>
      <xdr:col>0</xdr:col>
      <xdr:colOff>1165413</xdr:colOff>
      <xdr:row>73</xdr:row>
      <xdr:rowOff>44824</xdr:rowOff>
    </xdr:to>
    <xdr:sp macro="" textlink="">
      <xdr:nvSpPr>
        <xdr:cNvPr id="2775" name="Flèche vers le bas 277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73</xdr:row>
      <xdr:rowOff>313765</xdr:rowOff>
    </xdr:from>
    <xdr:to>
      <xdr:col>0</xdr:col>
      <xdr:colOff>1165413</xdr:colOff>
      <xdr:row>74</xdr:row>
      <xdr:rowOff>44824</xdr:rowOff>
    </xdr:to>
    <xdr:sp macro="" textlink="">
      <xdr:nvSpPr>
        <xdr:cNvPr id="2776" name="Flèche vers le bas 277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73</xdr:row>
      <xdr:rowOff>313765</xdr:rowOff>
    </xdr:from>
    <xdr:to>
      <xdr:col>0</xdr:col>
      <xdr:colOff>1165413</xdr:colOff>
      <xdr:row>74</xdr:row>
      <xdr:rowOff>44824</xdr:rowOff>
    </xdr:to>
    <xdr:sp macro="" textlink="">
      <xdr:nvSpPr>
        <xdr:cNvPr id="2777" name="Flèche vers le bas 277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73</xdr:row>
      <xdr:rowOff>313765</xdr:rowOff>
    </xdr:from>
    <xdr:to>
      <xdr:col>0</xdr:col>
      <xdr:colOff>1165413</xdr:colOff>
      <xdr:row>74</xdr:row>
      <xdr:rowOff>44824</xdr:rowOff>
    </xdr:to>
    <xdr:sp macro="" textlink="">
      <xdr:nvSpPr>
        <xdr:cNvPr id="2778" name="Flèche vers le bas 277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73</xdr:row>
      <xdr:rowOff>313765</xdr:rowOff>
    </xdr:from>
    <xdr:to>
      <xdr:col>0</xdr:col>
      <xdr:colOff>1165413</xdr:colOff>
      <xdr:row>74</xdr:row>
      <xdr:rowOff>44824</xdr:rowOff>
    </xdr:to>
    <xdr:sp macro="" textlink="">
      <xdr:nvSpPr>
        <xdr:cNvPr id="2779" name="Flèche vers le bas 277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73</xdr:row>
      <xdr:rowOff>313765</xdr:rowOff>
    </xdr:from>
    <xdr:to>
      <xdr:col>0</xdr:col>
      <xdr:colOff>1165413</xdr:colOff>
      <xdr:row>74</xdr:row>
      <xdr:rowOff>44824</xdr:rowOff>
    </xdr:to>
    <xdr:sp macro="" textlink="">
      <xdr:nvSpPr>
        <xdr:cNvPr id="2780" name="Flèche vers le bas 277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73</xdr:row>
      <xdr:rowOff>313765</xdr:rowOff>
    </xdr:from>
    <xdr:to>
      <xdr:col>0</xdr:col>
      <xdr:colOff>1165413</xdr:colOff>
      <xdr:row>74</xdr:row>
      <xdr:rowOff>44824</xdr:rowOff>
    </xdr:to>
    <xdr:sp macro="" textlink="">
      <xdr:nvSpPr>
        <xdr:cNvPr id="2781" name="Flèche vers le bas 278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73</xdr:row>
      <xdr:rowOff>313765</xdr:rowOff>
    </xdr:from>
    <xdr:to>
      <xdr:col>0</xdr:col>
      <xdr:colOff>1165413</xdr:colOff>
      <xdr:row>74</xdr:row>
      <xdr:rowOff>44824</xdr:rowOff>
    </xdr:to>
    <xdr:sp macro="" textlink="">
      <xdr:nvSpPr>
        <xdr:cNvPr id="2782" name="Flèche vers le bas 278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73</xdr:row>
      <xdr:rowOff>313765</xdr:rowOff>
    </xdr:from>
    <xdr:to>
      <xdr:col>0</xdr:col>
      <xdr:colOff>1165413</xdr:colOff>
      <xdr:row>74</xdr:row>
      <xdr:rowOff>44824</xdr:rowOff>
    </xdr:to>
    <xdr:sp macro="" textlink="">
      <xdr:nvSpPr>
        <xdr:cNvPr id="2783" name="Flèche vers le bas 278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73</xdr:row>
      <xdr:rowOff>313765</xdr:rowOff>
    </xdr:from>
    <xdr:to>
      <xdr:col>0</xdr:col>
      <xdr:colOff>1165413</xdr:colOff>
      <xdr:row>74</xdr:row>
      <xdr:rowOff>44824</xdr:rowOff>
    </xdr:to>
    <xdr:sp macro="" textlink="">
      <xdr:nvSpPr>
        <xdr:cNvPr id="2784" name="Flèche vers le bas 278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74</xdr:row>
      <xdr:rowOff>313765</xdr:rowOff>
    </xdr:from>
    <xdr:to>
      <xdr:col>0</xdr:col>
      <xdr:colOff>1165413</xdr:colOff>
      <xdr:row>75</xdr:row>
      <xdr:rowOff>44824</xdr:rowOff>
    </xdr:to>
    <xdr:sp macro="" textlink="">
      <xdr:nvSpPr>
        <xdr:cNvPr id="2785" name="Flèche vers le bas 278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74</xdr:row>
      <xdr:rowOff>313765</xdr:rowOff>
    </xdr:from>
    <xdr:to>
      <xdr:col>0</xdr:col>
      <xdr:colOff>1165413</xdr:colOff>
      <xdr:row>75</xdr:row>
      <xdr:rowOff>44824</xdr:rowOff>
    </xdr:to>
    <xdr:sp macro="" textlink="">
      <xdr:nvSpPr>
        <xdr:cNvPr id="2786" name="Flèche vers le bas 278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74</xdr:row>
      <xdr:rowOff>313765</xdr:rowOff>
    </xdr:from>
    <xdr:to>
      <xdr:col>0</xdr:col>
      <xdr:colOff>1165413</xdr:colOff>
      <xdr:row>75</xdr:row>
      <xdr:rowOff>44824</xdr:rowOff>
    </xdr:to>
    <xdr:sp macro="" textlink="">
      <xdr:nvSpPr>
        <xdr:cNvPr id="2787" name="Flèche vers le bas 278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74</xdr:row>
      <xdr:rowOff>313765</xdr:rowOff>
    </xdr:from>
    <xdr:to>
      <xdr:col>0</xdr:col>
      <xdr:colOff>1165413</xdr:colOff>
      <xdr:row>75</xdr:row>
      <xdr:rowOff>44824</xdr:rowOff>
    </xdr:to>
    <xdr:sp macro="" textlink="">
      <xdr:nvSpPr>
        <xdr:cNvPr id="2788" name="Flèche vers le bas 278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74</xdr:row>
      <xdr:rowOff>313765</xdr:rowOff>
    </xdr:from>
    <xdr:to>
      <xdr:col>0</xdr:col>
      <xdr:colOff>1165413</xdr:colOff>
      <xdr:row>75</xdr:row>
      <xdr:rowOff>44824</xdr:rowOff>
    </xdr:to>
    <xdr:sp macro="" textlink="">
      <xdr:nvSpPr>
        <xdr:cNvPr id="2789" name="Flèche vers le bas 278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74</xdr:row>
      <xdr:rowOff>313765</xdr:rowOff>
    </xdr:from>
    <xdr:to>
      <xdr:col>0</xdr:col>
      <xdr:colOff>1165413</xdr:colOff>
      <xdr:row>75</xdr:row>
      <xdr:rowOff>44824</xdr:rowOff>
    </xdr:to>
    <xdr:sp macro="" textlink="">
      <xdr:nvSpPr>
        <xdr:cNvPr id="2790" name="Flèche vers le bas 278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74</xdr:row>
      <xdr:rowOff>313765</xdr:rowOff>
    </xdr:from>
    <xdr:to>
      <xdr:col>0</xdr:col>
      <xdr:colOff>1165413</xdr:colOff>
      <xdr:row>75</xdr:row>
      <xdr:rowOff>44824</xdr:rowOff>
    </xdr:to>
    <xdr:sp macro="" textlink="">
      <xdr:nvSpPr>
        <xdr:cNvPr id="2791" name="Flèche vers le bas 279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74</xdr:row>
      <xdr:rowOff>313765</xdr:rowOff>
    </xdr:from>
    <xdr:to>
      <xdr:col>0</xdr:col>
      <xdr:colOff>1165413</xdr:colOff>
      <xdr:row>75</xdr:row>
      <xdr:rowOff>44824</xdr:rowOff>
    </xdr:to>
    <xdr:sp macro="" textlink="">
      <xdr:nvSpPr>
        <xdr:cNvPr id="2792" name="Flèche vers le bas 279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74</xdr:row>
      <xdr:rowOff>313765</xdr:rowOff>
    </xdr:from>
    <xdr:to>
      <xdr:col>0</xdr:col>
      <xdr:colOff>1165413</xdr:colOff>
      <xdr:row>75</xdr:row>
      <xdr:rowOff>44824</xdr:rowOff>
    </xdr:to>
    <xdr:sp macro="" textlink="">
      <xdr:nvSpPr>
        <xdr:cNvPr id="2793" name="Flèche vers le bas 279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75</xdr:row>
      <xdr:rowOff>313765</xdr:rowOff>
    </xdr:from>
    <xdr:to>
      <xdr:col>0</xdr:col>
      <xdr:colOff>1165413</xdr:colOff>
      <xdr:row>76</xdr:row>
      <xdr:rowOff>44824</xdr:rowOff>
    </xdr:to>
    <xdr:sp macro="" textlink="">
      <xdr:nvSpPr>
        <xdr:cNvPr id="2794" name="Flèche vers le bas 279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75</xdr:row>
      <xdr:rowOff>313765</xdr:rowOff>
    </xdr:from>
    <xdr:to>
      <xdr:col>0</xdr:col>
      <xdr:colOff>1165413</xdr:colOff>
      <xdr:row>76</xdr:row>
      <xdr:rowOff>44824</xdr:rowOff>
    </xdr:to>
    <xdr:sp macro="" textlink="">
      <xdr:nvSpPr>
        <xdr:cNvPr id="2795" name="Flèche vers le bas 279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75</xdr:row>
      <xdr:rowOff>313765</xdr:rowOff>
    </xdr:from>
    <xdr:to>
      <xdr:col>0</xdr:col>
      <xdr:colOff>1165413</xdr:colOff>
      <xdr:row>76</xdr:row>
      <xdr:rowOff>44824</xdr:rowOff>
    </xdr:to>
    <xdr:sp macro="" textlink="">
      <xdr:nvSpPr>
        <xdr:cNvPr id="2796" name="Flèche vers le bas 279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75</xdr:row>
      <xdr:rowOff>313765</xdr:rowOff>
    </xdr:from>
    <xdr:to>
      <xdr:col>0</xdr:col>
      <xdr:colOff>1165413</xdr:colOff>
      <xdr:row>76</xdr:row>
      <xdr:rowOff>44824</xdr:rowOff>
    </xdr:to>
    <xdr:sp macro="" textlink="">
      <xdr:nvSpPr>
        <xdr:cNvPr id="2797" name="Flèche vers le bas 279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75</xdr:row>
      <xdr:rowOff>313765</xdr:rowOff>
    </xdr:from>
    <xdr:to>
      <xdr:col>0</xdr:col>
      <xdr:colOff>1165413</xdr:colOff>
      <xdr:row>76</xdr:row>
      <xdr:rowOff>44824</xdr:rowOff>
    </xdr:to>
    <xdr:sp macro="" textlink="">
      <xdr:nvSpPr>
        <xdr:cNvPr id="2798" name="Flèche vers le bas 279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75</xdr:row>
      <xdr:rowOff>313765</xdr:rowOff>
    </xdr:from>
    <xdr:to>
      <xdr:col>0</xdr:col>
      <xdr:colOff>1165413</xdr:colOff>
      <xdr:row>76</xdr:row>
      <xdr:rowOff>44824</xdr:rowOff>
    </xdr:to>
    <xdr:sp macro="" textlink="">
      <xdr:nvSpPr>
        <xdr:cNvPr id="2799" name="Flèche vers le bas 279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75</xdr:row>
      <xdr:rowOff>313765</xdr:rowOff>
    </xdr:from>
    <xdr:to>
      <xdr:col>0</xdr:col>
      <xdr:colOff>1165413</xdr:colOff>
      <xdr:row>76</xdr:row>
      <xdr:rowOff>44824</xdr:rowOff>
    </xdr:to>
    <xdr:sp macro="" textlink="">
      <xdr:nvSpPr>
        <xdr:cNvPr id="2800" name="Flèche vers le bas 279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75</xdr:row>
      <xdr:rowOff>313765</xdr:rowOff>
    </xdr:from>
    <xdr:to>
      <xdr:col>0</xdr:col>
      <xdr:colOff>1165413</xdr:colOff>
      <xdr:row>76</xdr:row>
      <xdr:rowOff>44824</xdr:rowOff>
    </xdr:to>
    <xdr:sp macro="" textlink="">
      <xdr:nvSpPr>
        <xdr:cNvPr id="2801" name="Flèche vers le bas 280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75</xdr:row>
      <xdr:rowOff>313765</xdr:rowOff>
    </xdr:from>
    <xdr:to>
      <xdr:col>0</xdr:col>
      <xdr:colOff>1165413</xdr:colOff>
      <xdr:row>76</xdr:row>
      <xdr:rowOff>44824</xdr:rowOff>
    </xdr:to>
    <xdr:sp macro="" textlink="">
      <xdr:nvSpPr>
        <xdr:cNvPr id="2802" name="Flèche vers le bas 280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76</xdr:row>
      <xdr:rowOff>313765</xdr:rowOff>
    </xdr:from>
    <xdr:to>
      <xdr:col>0</xdr:col>
      <xdr:colOff>1165413</xdr:colOff>
      <xdr:row>77</xdr:row>
      <xdr:rowOff>44824</xdr:rowOff>
    </xdr:to>
    <xdr:sp macro="" textlink="">
      <xdr:nvSpPr>
        <xdr:cNvPr id="2803" name="Flèche vers le bas 280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76</xdr:row>
      <xdr:rowOff>313765</xdr:rowOff>
    </xdr:from>
    <xdr:to>
      <xdr:col>0</xdr:col>
      <xdr:colOff>1165413</xdr:colOff>
      <xdr:row>77</xdr:row>
      <xdr:rowOff>44824</xdr:rowOff>
    </xdr:to>
    <xdr:sp macro="" textlink="">
      <xdr:nvSpPr>
        <xdr:cNvPr id="2804" name="Flèche vers le bas 280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76</xdr:row>
      <xdr:rowOff>313765</xdr:rowOff>
    </xdr:from>
    <xdr:to>
      <xdr:col>0</xdr:col>
      <xdr:colOff>1165413</xdr:colOff>
      <xdr:row>77</xdr:row>
      <xdr:rowOff>44824</xdr:rowOff>
    </xdr:to>
    <xdr:sp macro="" textlink="">
      <xdr:nvSpPr>
        <xdr:cNvPr id="2805" name="Flèche vers le bas 280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76</xdr:row>
      <xdr:rowOff>313765</xdr:rowOff>
    </xdr:from>
    <xdr:to>
      <xdr:col>0</xdr:col>
      <xdr:colOff>1165413</xdr:colOff>
      <xdr:row>77</xdr:row>
      <xdr:rowOff>44824</xdr:rowOff>
    </xdr:to>
    <xdr:sp macro="" textlink="">
      <xdr:nvSpPr>
        <xdr:cNvPr id="2806" name="Flèche vers le bas 280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76</xdr:row>
      <xdr:rowOff>313765</xdr:rowOff>
    </xdr:from>
    <xdr:to>
      <xdr:col>0</xdr:col>
      <xdr:colOff>1165413</xdr:colOff>
      <xdr:row>77</xdr:row>
      <xdr:rowOff>44824</xdr:rowOff>
    </xdr:to>
    <xdr:sp macro="" textlink="">
      <xdr:nvSpPr>
        <xdr:cNvPr id="2807" name="Flèche vers le bas 280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76</xdr:row>
      <xdr:rowOff>313765</xdr:rowOff>
    </xdr:from>
    <xdr:to>
      <xdr:col>0</xdr:col>
      <xdr:colOff>1165413</xdr:colOff>
      <xdr:row>77</xdr:row>
      <xdr:rowOff>44824</xdr:rowOff>
    </xdr:to>
    <xdr:sp macro="" textlink="">
      <xdr:nvSpPr>
        <xdr:cNvPr id="2808" name="Flèche vers le bas 280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76</xdr:row>
      <xdr:rowOff>313765</xdr:rowOff>
    </xdr:from>
    <xdr:to>
      <xdr:col>0</xdr:col>
      <xdr:colOff>1165413</xdr:colOff>
      <xdr:row>77</xdr:row>
      <xdr:rowOff>44824</xdr:rowOff>
    </xdr:to>
    <xdr:sp macro="" textlink="">
      <xdr:nvSpPr>
        <xdr:cNvPr id="2809" name="Flèche vers le bas 280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76</xdr:row>
      <xdr:rowOff>313765</xdr:rowOff>
    </xdr:from>
    <xdr:to>
      <xdr:col>0</xdr:col>
      <xdr:colOff>1165413</xdr:colOff>
      <xdr:row>77</xdr:row>
      <xdr:rowOff>44824</xdr:rowOff>
    </xdr:to>
    <xdr:sp macro="" textlink="">
      <xdr:nvSpPr>
        <xdr:cNvPr id="2810" name="Flèche vers le bas 280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76</xdr:row>
      <xdr:rowOff>313765</xdr:rowOff>
    </xdr:from>
    <xdr:to>
      <xdr:col>0</xdr:col>
      <xdr:colOff>1165413</xdr:colOff>
      <xdr:row>77</xdr:row>
      <xdr:rowOff>44824</xdr:rowOff>
    </xdr:to>
    <xdr:sp macro="" textlink="">
      <xdr:nvSpPr>
        <xdr:cNvPr id="2811" name="Flèche vers le bas 281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77</xdr:row>
      <xdr:rowOff>313765</xdr:rowOff>
    </xdr:from>
    <xdr:to>
      <xdr:col>0</xdr:col>
      <xdr:colOff>1165413</xdr:colOff>
      <xdr:row>78</xdr:row>
      <xdr:rowOff>44824</xdr:rowOff>
    </xdr:to>
    <xdr:sp macro="" textlink="">
      <xdr:nvSpPr>
        <xdr:cNvPr id="2812" name="Flèche vers le bas 281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77</xdr:row>
      <xdr:rowOff>313765</xdr:rowOff>
    </xdr:from>
    <xdr:to>
      <xdr:col>0</xdr:col>
      <xdr:colOff>1165413</xdr:colOff>
      <xdr:row>78</xdr:row>
      <xdr:rowOff>44824</xdr:rowOff>
    </xdr:to>
    <xdr:sp macro="" textlink="">
      <xdr:nvSpPr>
        <xdr:cNvPr id="2813" name="Flèche vers le bas 281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77</xdr:row>
      <xdr:rowOff>313765</xdr:rowOff>
    </xdr:from>
    <xdr:to>
      <xdr:col>0</xdr:col>
      <xdr:colOff>1165413</xdr:colOff>
      <xdr:row>78</xdr:row>
      <xdr:rowOff>44824</xdr:rowOff>
    </xdr:to>
    <xdr:sp macro="" textlink="">
      <xdr:nvSpPr>
        <xdr:cNvPr id="2814" name="Flèche vers le bas 281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77</xdr:row>
      <xdr:rowOff>313765</xdr:rowOff>
    </xdr:from>
    <xdr:to>
      <xdr:col>0</xdr:col>
      <xdr:colOff>1165413</xdr:colOff>
      <xdr:row>78</xdr:row>
      <xdr:rowOff>44824</xdr:rowOff>
    </xdr:to>
    <xdr:sp macro="" textlink="">
      <xdr:nvSpPr>
        <xdr:cNvPr id="2815" name="Flèche vers le bas 281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77</xdr:row>
      <xdr:rowOff>313765</xdr:rowOff>
    </xdr:from>
    <xdr:to>
      <xdr:col>0</xdr:col>
      <xdr:colOff>1165413</xdr:colOff>
      <xdr:row>78</xdr:row>
      <xdr:rowOff>44824</xdr:rowOff>
    </xdr:to>
    <xdr:sp macro="" textlink="">
      <xdr:nvSpPr>
        <xdr:cNvPr id="2816" name="Flèche vers le bas 281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77</xdr:row>
      <xdr:rowOff>313765</xdr:rowOff>
    </xdr:from>
    <xdr:to>
      <xdr:col>0</xdr:col>
      <xdr:colOff>1165413</xdr:colOff>
      <xdr:row>78</xdr:row>
      <xdr:rowOff>44824</xdr:rowOff>
    </xdr:to>
    <xdr:sp macro="" textlink="">
      <xdr:nvSpPr>
        <xdr:cNvPr id="2817" name="Flèche vers le bas 281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77</xdr:row>
      <xdr:rowOff>313765</xdr:rowOff>
    </xdr:from>
    <xdr:to>
      <xdr:col>0</xdr:col>
      <xdr:colOff>1165413</xdr:colOff>
      <xdr:row>78</xdr:row>
      <xdr:rowOff>44824</xdr:rowOff>
    </xdr:to>
    <xdr:sp macro="" textlink="">
      <xdr:nvSpPr>
        <xdr:cNvPr id="2818" name="Flèche vers le bas 281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77</xdr:row>
      <xdr:rowOff>313765</xdr:rowOff>
    </xdr:from>
    <xdr:to>
      <xdr:col>0</xdr:col>
      <xdr:colOff>1165413</xdr:colOff>
      <xdr:row>78</xdr:row>
      <xdr:rowOff>44824</xdr:rowOff>
    </xdr:to>
    <xdr:sp macro="" textlink="">
      <xdr:nvSpPr>
        <xdr:cNvPr id="2819" name="Flèche vers le bas 281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77</xdr:row>
      <xdr:rowOff>313765</xdr:rowOff>
    </xdr:from>
    <xdr:to>
      <xdr:col>0</xdr:col>
      <xdr:colOff>1165413</xdr:colOff>
      <xdr:row>78</xdr:row>
      <xdr:rowOff>44824</xdr:rowOff>
    </xdr:to>
    <xdr:sp macro="" textlink="">
      <xdr:nvSpPr>
        <xdr:cNvPr id="2820" name="Flèche vers le bas 281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78</xdr:row>
      <xdr:rowOff>313765</xdr:rowOff>
    </xdr:from>
    <xdr:to>
      <xdr:col>0</xdr:col>
      <xdr:colOff>1165413</xdr:colOff>
      <xdr:row>79</xdr:row>
      <xdr:rowOff>44824</xdr:rowOff>
    </xdr:to>
    <xdr:sp macro="" textlink="">
      <xdr:nvSpPr>
        <xdr:cNvPr id="2821" name="Flèche vers le bas 282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78</xdr:row>
      <xdr:rowOff>313765</xdr:rowOff>
    </xdr:from>
    <xdr:to>
      <xdr:col>0</xdr:col>
      <xdr:colOff>1165413</xdr:colOff>
      <xdr:row>79</xdr:row>
      <xdr:rowOff>44824</xdr:rowOff>
    </xdr:to>
    <xdr:sp macro="" textlink="">
      <xdr:nvSpPr>
        <xdr:cNvPr id="2822" name="Flèche vers le bas 282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78</xdr:row>
      <xdr:rowOff>313765</xdr:rowOff>
    </xdr:from>
    <xdr:to>
      <xdr:col>0</xdr:col>
      <xdr:colOff>1165413</xdr:colOff>
      <xdr:row>79</xdr:row>
      <xdr:rowOff>44824</xdr:rowOff>
    </xdr:to>
    <xdr:sp macro="" textlink="">
      <xdr:nvSpPr>
        <xdr:cNvPr id="2823" name="Flèche vers le bas 282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78</xdr:row>
      <xdr:rowOff>313765</xdr:rowOff>
    </xdr:from>
    <xdr:to>
      <xdr:col>0</xdr:col>
      <xdr:colOff>1165413</xdr:colOff>
      <xdr:row>79</xdr:row>
      <xdr:rowOff>44824</xdr:rowOff>
    </xdr:to>
    <xdr:sp macro="" textlink="">
      <xdr:nvSpPr>
        <xdr:cNvPr id="2824" name="Flèche vers le bas 282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78</xdr:row>
      <xdr:rowOff>313765</xdr:rowOff>
    </xdr:from>
    <xdr:to>
      <xdr:col>0</xdr:col>
      <xdr:colOff>1165413</xdr:colOff>
      <xdr:row>79</xdr:row>
      <xdr:rowOff>44824</xdr:rowOff>
    </xdr:to>
    <xdr:sp macro="" textlink="">
      <xdr:nvSpPr>
        <xdr:cNvPr id="2825" name="Flèche vers le bas 282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78</xdr:row>
      <xdr:rowOff>313765</xdr:rowOff>
    </xdr:from>
    <xdr:to>
      <xdr:col>0</xdr:col>
      <xdr:colOff>1165413</xdr:colOff>
      <xdr:row>79</xdr:row>
      <xdr:rowOff>44824</xdr:rowOff>
    </xdr:to>
    <xdr:sp macro="" textlink="">
      <xdr:nvSpPr>
        <xdr:cNvPr id="2826" name="Flèche vers le bas 282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78</xdr:row>
      <xdr:rowOff>313765</xdr:rowOff>
    </xdr:from>
    <xdr:to>
      <xdr:col>0</xdr:col>
      <xdr:colOff>1165413</xdr:colOff>
      <xdr:row>79</xdr:row>
      <xdr:rowOff>44824</xdr:rowOff>
    </xdr:to>
    <xdr:sp macro="" textlink="">
      <xdr:nvSpPr>
        <xdr:cNvPr id="2827" name="Flèche vers le bas 282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78</xdr:row>
      <xdr:rowOff>313765</xdr:rowOff>
    </xdr:from>
    <xdr:to>
      <xdr:col>0</xdr:col>
      <xdr:colOff>1165413</xdr:colOff>
      <xdr:row>79</xdr:row>
      <xdr:rowOff>44824</xdr:rowOff>
    </xdr:to>
    <xdr:sp macro="" textlink="">
      <xdr:nvSpPr>
        <xdr:cNvPr id="2828" name="Flèche vers le bas 282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78</xdr:row>
      <xdr:rowOff>313765</xdr:rowOff>
    </xdr:from>
    <xdr:to>
      <xdr:col>0</xdr:col>
      <xdr:colOff>1165413</xdr:colOff>
      <xdr:row>79</xdr:row>
      <xdr:rowOff>44824</xdr:rowOff>
    </xdr:to>
    <xdr:sp macro="" textlink="">
      <xdr:nvSpPr>
        <xdr:cNvPr id="2829" name="Flèche vers le bas 282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79</xdr:row>
      <xdr:rowOff>313765</xdr:rowOff>
    </xdr:from>
    <xdr:to>
      <xdr:col>0</xdr:col>
      <xdr:colOff>1165413</xdr:colOff>
      <xdr:row>80</xdr:row>
      <xdr:rowOff>44824</xdr:rowOff>
    </xdr:to>
    <xdr:sp macro="" textlink="">
      <xdr:nvSpPr>
        <xdr:cNvPr id="2830" name="Flèche vers le bas 282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79</xdr:row>
      <xdr:rowOff>313765</xdr:rowOff>
    </xdr:from>
    <xdr:to>
      <xdr:col>0</xdr:col>
      <xdr:colOff>1165413</xdr:colOff>
      <xdr:row>80</xdr:row>
      <xdr:rowOff>44824</xdr:rowOff>
    </xdr:to>
    <xdr:sp macro="" textlink="">
      <xdr:nvSpPr>
        <xdr:cNvPr id="2831" name="Flèche vers le bas 283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79</xdr:row>
      <xdr:rowOff>313765</xdr:rowOff>
    </xdr:from>
    <xdr:to>
      <xdr:col>0</xdr:col>
      <xdr:colOff>1165413</xdr:colOff>
      <xdr:row>80</xdr:row>
      <xdr:rowOff>44824</xdr:rowOff>
    </xdr:to>
    <xdr:sp macro="" textlink="">
      <xdr:nvSpPr>
        <xdr:cNvPr id="2832" name="Flèche vers le bas 283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79</xdr:row>
      <xdr:rowOff>313765</xdr:rowOff>
    </xdr:from>
    <xdr:to>
      <xdr:col>0</xdr:col>
      <xdr:colOff>1165413</xdr:colOff>
      <xdr:row>80</xdr:row>
      <xdr:rowOff>44824</xdr:rowOff>
    </xdr:to>
    <xdr:sp macro="" textlink="">
      <xdr:nvSpPr>
        <xdr:cNvPr id="2833" name="Flèche vers le bas 283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79</xdr:row>
      <xdr:rowOff>313765</xdr:rowOff>
    </xdr:from>
    <xdr:to>
      <xdr:col>0</xdr:col>
      <xdr:colOff>1165413</xdr:colOff>
      <xdr:row>80</xdr:row>
      <xdr:rowOff>44824</xdr:rowOff>
    </xdr:to>
    <xdr:sp macro="" textlink="">
      <xdr:nvSpPr>
        <xdr:cNvPr id="2834" name="Flèche vers le bas 283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79</xdr:row>
      <xdr:rowOff>313765</xdr:rowOff>
    </xdr:from>
    <xdr:to>
      <xdr:col>0</xdr:col>
      <xdr:colOff>1165413</xdr:colOff>
      <xdr:row>80</xdr:row>
      <xdr:rowOff>44824</xdr:rowOff>
    </xdr:to>
    <xdr:sp macro="" textlink="">
      <xdr:nvSpPr>
        <xdr:cNvPr id="2835" name="Flèche vers le bas 283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79</xdr:row>
      <xdr:rowOff>313765</xdr:rowOff>
    </xdr:from>
    <xdr:to>
      <xdr:col>0</xdr:col>
      <xdr:colOff>1165413</xdr:colOff>
      <xdr:row>80</xdr:row>
      <xdr:rowOff>44824</xdr:rowOff>
    </xdr:to>
    <xdr:sp macro="" textlink="">
      <xdr:nvSpPr>
        <xdr:cNvPr id="2836" name="Flèche vers le bas 283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79</xdr:row>
      <xdr:rowOff>313765</xdr:rowOff>
    </xdr:from>
    <xdr:to>
      <xdr:col>0</xdr:col>
      <xdr:colOff>1165413</xdr:colOff>
      <xdr:row>80</xdr:row>
      <xdr:rowOff>44824</xdr:rowOff>
    </xdr:to>
    <xdr:sp macro="" textlink="">
      <xdr:nvSpPr>
        <xdr:cNvPr id="2837" name="Flèche vers le bas 283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79</xdr:row>
      <xdr:rowOff>313765</xdr:rowOff>
    </xdr:from>
    <xdr:to>
      <xdr:col>0</xdr:col>
      <xdr:colOff>1165413</xdr:colOff>
      <xdr:row>80</xdr:row>
      <xdr:rowOff>44824</xdr:rowOff>
    </xdr:to>
    <xdr:sp macro="" textlink="">
      <xdr:nvSpPr>
        <xdr:cNvPr id="2838" name="Flèche vers le bas 283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80</xdr:row>
      <xdr:rowOff>313765</xdr:rowOff>
    </xdr:from>
    <xdr:to>
      <xdr:col>0</xdr:col>
      <xdr:colOff>1165413</xdr:colOff>
      <xdr:row>81</xdr:row>
      <xdr:rowOff>44824</xdr:rowOff>
    </xdr:to>
    <xdr:sp macro="" textlink="">
      <xdr:nvSpPr>
        <xdr:cNvPr id="2839" name="Flèche vers le bas 283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80</xdr:row>
      <xdr:rowOff>313765</xdr:rowOff>
    </xdr:from>
    <xdr:to>
      <xdr:col>0</xdr:col>
      <xdr:colOff>1165413</xdr:colOff>
      <xdr:row>81</xdr:row>
      <xdr:rowOff>44824</xdr:rowOff>
    </xdr:to>
    <xdr:sp macro="" textlink="">
      <xdr:nvSpPr>
        <xdr:cNvPr id="2840" name="Flèche vers le bas 283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80</xdr:row>
      <xdr:rowOff>313765</xdr:rowOff>
    </xdr:from>
    <xdr:to>
      <xdr:col>0</xdr:col>
      <xdr:colOff>1165413</xdr:colOff>
      <xdr:row>81</xdr:row>
      <xdr:rowOff>44824</xdr:rowOff>
    </xdr:to>
    <xdr:sp macro="" textlink="">
      <xdr:nvSpPr>
        <xdr:cNvPr id="2841" name="Flèche vers le bas 284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80</xdr:row>
      <xdr:rowOff>313765</xdr:rowOff>
    </xdr:from>
    <xdr:to>
      <xdr:col>0</xdr:col>
      <xdr:colOff>1165413</xdr:colOff>
      <xdr:row>81</xdr:row>
      <xdr:rowOff>44824</xdr:rowOff>
    </xdr:to>
    <xdr:sp macro="" textlink="">
      <xdr:nvSpPr>
        <xdr:cNvPr id="2842" name="Flèche vers le bas 284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80</xdr:row>
      <xdr:rowOff>313765</xdr:rowOff>
    </xdr:from>
    <xdr:to>
      <xdr:col>0</xdr:col>
      <xdr:colOff>1165413</xdr:colOff>
      <xdr:row>81</xdr:row>
      <xdr:rowOff>44824</xdr:rowOff>
    </xdr:to>
    <xdr:sp macro="" textlink="">
      <xdr:nvSpPr>
        <xdr:cNvPr id="2843" name="Flèche vers le bas 284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80</xdr:row>
      <xdr:rowOff>313765</xdr:rowOff>
    </xdr:from>
    <xdr:to>
      <xdr:col>0</xdr:col>
      <xdr:colOff>1165413</xdr:colOff>
      <xdr:row>81</xdr:row>
      <xdr:rowOff>44824</xdr:rowOff>
    </xdr:to>
    <xdr:sp macro="" textlink="">
      <xdr:nvSpPr>
        <xdr:cNvPr id="2844" name="Flèche vers le bas 284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80</xdr:row>
      <xdr:rowOff>313765</xdr:rowOff>
    </xdr:from>
    <xdr:to>
      <xdr:col>0</xdr:col>
      <xdr:colOff>1165413</xdr:colOff>
      <xdr:row>81</xdr:row>
      <xdr:rowOff>44824</xdr:rowOff>
    </xdr:to>
    <xdr:sp macro="" textlink="">
      <xdr:nvSpPr>
        <xdr:cNvPr id="2845" name="Flèche vers le bas 284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80</xdr:row>
      <xdr:rowOff>313765</xdr:rowOff>
    </xdr:from>
    <xdr:to>
      <xdr:col>0</xdr:col>
      <xdr:colOff>1165413</xdr:colOff>
      <xdr:row>81</xdr:row>
      <xdr:rowOff>44824</xdr:rowOff>
    </xdr:to>
    <xdr:sp macro="" textlink="">
      <xdr:nvSpPr>
        <xdr:cNvPr id="2846" name="Flèche vers le bas 284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80</xdr:row>
      <xdr:rowOff>313765</xdr:rowOff>
    </xdr:from>
    <xdr:to>
      <xdr:col>0</xdr:col>
      <xdr:colOff>1165413</xdr:colOff>
      <xdr:row>81</xdr:row>
      <xdr:rowOff>44824</xdr:rowOff>
    </xdr:to>
    <xdr:sp macro="" textlink="">
      <xdr:nvSpPr>
        <xdr:cNvPr id="2847" name="Flèche vers le bas 284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81</xdr:row>
      <xdr:rowOff>313765</xdr:rowOff>
    </xdr:from>
    <xdr:to>
      <xdr:col>0</xdr:col>
      <xdr:colOff>1165413</xdr:colOff>
      <xdr:row>82</xdr:row>
      <xdr:rowOff>44824</xdr:rowOff>
    </xdr:to>
    <xdr:sp macro="" textlink="">
      <xdr:nvSpPr>
        <xdr:cNvPr id="2848" name="Flèche vers le bas 284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81</xdr:row>
      <xdr:rowOff>313765</xdr:rowOff>
    </xdr:from>
    <xdr:to>
      <xdr:col>0</xdr:col>
      <xdr:colOff>1165413</xdr:colOff>
      <xdr:row>82</xdr:row>
      <xdr:rowOff>44824</xdr:rowOff>
    </xdr:to>
    <xdr:sp macro="" textlink="">
      <xdr:nvSpPr>
        <xdr:cNvPr id="2849" name="Flèche vers le bas 284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81</xdr:row>
      <xdr:rowOff>313765</xdr:rowOff>
    </xdr:from>
    <xdr:to>
      <xdr:col>0</xdr:col>
      <xdr:colOff>1165413</xdr:colOff>
      <xdr:row>82</xdr:row>
      <xdr:rowOff>44824</xdr:rowOff>
    </xdr:to>
    <xdr:sp macro="" textlink="">
      <xdr:nvSpPr>
        <xdr:cNvPr id="2850" name="Flèche vers le bas 284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81</xdr:row>
      <xdr:rowOff>313765</xdr:rowOff>
    </xdr:from>
    <xdr:to>
      <xdr:col>0</xdr:col>
      <xdr:colOff>1165413</xdr:colOff>
      <xdr:row>82</xdr:row>
      <xdr:rowOff>44824</xdr:rowOff>
    </xdr:to>
    <xdr:sp macro="" textlink="">
      <xdr:nvSpPr>
        <xdr:cNvPr id="2851" name="Flèche vers le bas 285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81</xdr:row>
      <xdr:rowOff>313765</xdr:rowOff>
    </xdr:from>
    <xdr:to>
      <xdr:col>0</xdr:col>
      <xdr:colOff>1165413</xdr:colOff>
      <xdr:row>82</xdr:row>
      <xdr:rowOff>44824</xdr:rowOff>
    </xdr:to>
    <xdr:sp macro="" textlink="">
      <xdr:nvSpPr>
        <xdr:cNvPr id="2852" name="Flèche vers le bas 285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81</xdr:row>
      <xdr:rowOff>313765</xdr:rowOff>
    </xdr:from>
    <xdr:to>
      <xdr:col>0</xdr:col>
      <xdr:colOff>1165413</xdr:colOff>
      <xdr:row>82</xdr:row>
      <xdr:rowOff>44824</xdr:rowOff>
    </xdr:to>
    <xdr:sp macro="" textlink="">
      <xdr:nvSpPr>
        <xdr:cNvPr id="2853" name="Flèche vers le bas 285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81</xdr:row>
      <xdr:rowOff>313765</xdr:rowOff>
    </xdr:from>
    <xdr:to>
      <xdr:col>0</xdr:col>
      <xdr:colOff>1165413</xdr:colOff>
      <xdr:row>82</xdr:row>
      <xdr:rowOff>44824</xdr:rowOff>
    </xdr:to>
    <xdr:sp macro="" textlink="">
      <xdr:nvSpPr>
        <xdr:cNvPr id="2854" name="Flèche vers le bas 285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81</xdr:row>
      <xdr:rowOff>313765</xdr:rowOff>
    </xdr:from>
    <xdr:to>
      <xdr:col>0</xdr:col>
      <xdr:colOff>1165413</xdr:colOff>
      <xdr:row>82</xdr:row>
      <xdr:rowOff>44824</xdr:rowOff>
    </xdr:to>
    <xdr:sp macro="" textlink="">
      <xdr:nvSpPr>
        <xdr:cNvPr id="2855" name="Flèche vers le bas 285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81</xdr:row>
      <xdr:rowOff>313765</xdr:rowOff>
    </xdr:from>
    <xdr:to>
      <xdr:col>0</xdr:col>
      <xdr:colOff>1165413</xdr:colOff>
      <xdr:row>82</xdr:row>
      <xdr:rowOff>44824</xdr:rowOff>
    </xdr:to>
    <xdr:sp macro="" textlink="">
      <xdr:nvSpPr>
        <xdr:cNvPr id="2856" name="Flèche vers le bas 285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82</xdr:row>
      <xdr:rowOff>313765</xdr:rowOff>
    </xdr:from>
    <xdr:to>
      <xdr:col>0</xdr:col>
      <xdr:colOff>1165413</xdr:colOff>
      <xdr:row>83</xdr:row>
      <xdr:rowOff>44824</xdr:rowOff>
    </xdr:to>
    <xdr:sp macro="" textlink="">
      <xdr:nvSpPr>
        <xdr:cNvPr id="2857" name="Flèche vers le bas 285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82</xdr:row>
      <xdr:rowOff>313765</xdr:rowOff>
    </xdr:from>
    <xdr:to>
      <xdr:col>0</xdr:col>
      <xdr:colOff>1165413</xdr:colOff>
      <xdr:row>83</xdr:row>
      <xdr:rowOff>44824</xdr:rowOff>
    </xdr:to>
    <xdr:sp macro="" textlink="">
      <xdr:nvSpPr>
        <xdr:cNvPr id="2858" name="Flèche vers le bas 285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82</xdr:row>
      <xdr:rowOff>313765</xdr:rowOff>
    </xdr:from>
    <xdr:to>
      <xdr:col>0</xdr:col>
      <xdr:colOff>1165413</xdr:colOff>
      <xdr:row>83</xdr:row>
      <xdr:rowOff>44824</xdr:rowOff>
    </xdr:to>
    <xdr:sp macro="" textlink="">
      <xdr:nvSpPr>
        <xdr:cNvPr id="2859" name="Flèche vers le bas 285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82</xdr:row>
      <xdr:rowOff>313765</xdr:rowOff>
    </xdr:from>
    <xdr:to>
      <xdr:col>0</xdr:col>
      <xdr:colOff>1165413</xdr:colOff>
      <xdr:row>83</xdr:row>
      <xdr:rowOff>44824</xdr:rowOff>
    </xdr:to>
    <xdr:sp macro="" textlink="">
      <xdr:nvSpPr>
        <xdr:cNvPr id="2860" name="Flèche vers le bas 285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82</xdr:row>
      <xdr:rowOff>313765</xdr:rowOff>
    </xdr:from>
    <xdr:to>
      <xdr:col>0</xdr:col>
      <xdr:colOff>1165413</xdr:colOff>
      <xdr:row>83</xdr:row>
      <xdr:rowOff>44824</xdr:rowOff>
    </xdr:to>
    <xdr:sp macro="" textlink="">
      <xdr:nvSpPr>
        <xdr:cNvPr id="2861" name="Flèche vers le bas 286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82</xdr:row>
      <xdr:rowOff>313765</xdr:rowOff>
    </xdr:from>
    <xdr:to>
      <xdr:col>0</xdr:col>
      <xdr:colOff>1165413</xdr:colOff>
      <xdr:row>83</xdr:row>
      <xdr:rowOff>44824</xdr:rowOff>
    </xdr:to>
    <xdr:sp macro="" textlink="">
      <xdr:nvSpPr>
        <xdr:cNvPr id="2862" name="Flèche vers le bas 286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82</xdr:row>
      <xdr:rowOff>313765</xdr:rowOff>
    </xdr:from>
    <xdr:to>
      <xdr:col>0</xdr:col>
      <xdr:colOff>1165413</xdr:colOff>
      <xdr:row>83</xdr:row>
      <xdr:rowOff>44824</xdr:rowOff>
    </xdr:to>
    <xdr:sp macro="" textlink="">
      <xdr:nvSpPr>
        <xdr:cNvPr id="2863" name="Flèche vers le bas 286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82</xdr:row>
      <xdr:rowOff>313765</xdr:rowOff>
    </xdr:from>
    <xdr:to>
      <xdr:col>0</xdr:col>
      <xdr:colOff>1165413</xdr:colOff>
      <xdr:row>83</xdr:row>
      <xdr:rowOff>44824</xdr:rowOff>
    </xdr:to>
    <xdr:sp macro="" textlink="">
      <xdr:nvSpPr>
        <xdr:cNvPr id="2864" name="Flèche vers le bas 286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82</xdr:row>
      <xdr:rowOff>313765</xdr:rowOff>
    </xdr:from>
    <xdr:to>
      <xdr:col>0</xdr:col>
      <xdr:colOff>1165413</xdr:colOff>
      <xdr:row>83</xdr:row>
      <xdr:rowOff>44824</xdr:rowOff>
    </xdr:to>
    <xdr:sp macro="" textlink="">
      <xdr:nvSpPr>
        <xdr:cNvPr id="2865" name="Flèche vers le bas 286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83</xdr:row>
      <xdr:rowOff>313765</xdr:rowOff>
    </xdr:from>
    <xdr:to>
      <xdr:col>0</xdr:col>
      <xdr:colOff>1165413</xdr:colOff>
      <xdr:row>84</xdr:row>
      <xdr:rowOff>44824</xdr:rowOff>
    </xdr:to>
    <xdr:sp macro="" textlink="">
      <xdr:nvSpPr>
        <xdr:cNvPr id="2866" name="Flèche vers le bas 286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83</xdr:row>
      <xdr:rowOff>313765</xdr:rowOff>
    </xdr:from>
    <xdr:to>
      <xdr:col>0</xdr:col>
      <xdr:colOff>1165413</xdr:colOff>
      <xdr:row>84</xdr:row>
      <xdr:rowOff>44824</xdr:rowOff>
    </xdr:to>
    <xdr:sp macro="" textlink="">
      <xdr:nvSpPr>
        <xdr:cNvPr id="2867" name="Flèche vers le bas 286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83</xdr:row>
      <xdr:rowOff>313765</xdr:rowOff>
    </xdr:from>
    <xdr:to>
      <xdr:col>0</xdr:col>
      <xdr:colOff>1165413</xdr:colOff>
      <xdr:row>84</xdr:row>
      <xdr:rowOff>44824</xdr:rowOff>
    </xdr:to>
    <xdr:sp macro="" textlink="">
      <xdr:nvSpPr>
        <xdr:cNvPr id="2868" name="Flèche vers le bas 286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83</xdr:row>
      <xdr:rowOff>313765</xdr:rowOff>
    </xdr:from>
    <xdr:to>
      <xdr:col>0</xdr:col>
      <xdr:colOff>1165413</xdr:colOff>
      <xdr:row>84</xdr:row>
      <xdr:rowOff>44824</xdr:rowOff>
    </xdr:to>
    <xdr:sp macro="" textlink="">
      <xdr:nvSpPr>
        <xdr:cNvPr id="2869" name="Flèche vers le bas 286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83</xdr:row>
      <xdr:rowOff>313765</xdr:rowOff>
    </xdr:from>
    <xdr:to>
      <xdr:col>0</xdr:col>
      <xdr:colOff>1165413</xdr:colOff>
      <xdr:row>84</xdr:row>
      <xdr:rowOff>44824</xdr:rowOff>
    </xdr:to>
    <xdr:sp macro="" textlink="">
      <xdr:nvSpPr>
        <xdr:cNvPr id="2870" name="Flèche vers le bas 286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83</xdr:row>
      <xdr:rowOff>313765</xdr:rowOff>
    </xdr:from>
    <xdr:to>
      <xdr:col>0</xdr:col>
      <xdr:colOff>1165413</xdr:colOff>
      <xdr:row>84</xdr:row>
      <xdr:rowOff>44824</xdr:rowOff>
    </xdr:to>
    <xdr:sp macro="" textlink="">
      <xdr:nvSpPr>
        <xdr:cNvPr id="2871" name="Flèche vers le bas 287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83</xdr:row>
      <xdr:rowOff>313765</xdr:rowOff>
    </xdr:from>
    <xdr:to>
      <xdr:col>0</xdr:col>
      <xdr:colOff>1165413</xdr:colOff>
      <xdr:row>84</xdr:row>
      <xdr:rowOff>44824</xdr:rowOff>
    </xdr:to>
    <xdr:sp macro="" textlink="">
      <xdr:nvSpPr>
        <xdr:cNvPr id="2872" name="Flèche vers le bas 287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83</xdr:row>
      <xdr:rowOff>313765</xdr:rowOff>
    </xdr:from>
    <xdr:to>
      <xdr:col>0</xdr:col>
      <xdr:colOff>1165413</xdr:colOff>
      <xdr:row>84</xdr:row>
      <xdr:rowOff>44824</xdr:rowOff>
    </xdr:to>
    <xdr:sp macro="" textlink="">
      <xdr:nvSpPr>
        <xdr:cNvPr id="2873" name="Flèche vers le bas 287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83</xdr:row>
      <xdr:rowOff>313765</xdr:rowOff>
    </xdr:from>
    <xdr:to>
      <xdr:col>0</xdr:col>
      <xdr:colOff>1165413</xdr:colOff>
      <xdr:row>84</xdr:row>
      <xdr:rowOff>44824</xdr:rowOff>
    </xdr:to>
    <xdr:sp macro="" textlink="">
      <xdr:nvSpPr>
        <xdr:cNvPr id="2874" name="Flèche vers le bas 287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84</xdr:row>
      <xdr:rowOff>313765</xdr:rowOff>
    </xdr:from>
    <xdr:to>
      <xdr:col>0</xdr:col>
      <xdr:colOff>1165413</xdr:colOff>
      <xdr:row>85</xdr:row>
      <xdr:rowOff>44824</xdr:rowOff>
    </xdr:to>
    <xdr:sp macro="" textlink="">
      <xdr:nvSpPr>
        <xdr:cNvPr id="2875" name="Flèche vers le bas 287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84</xdr:row>
      <xdr:rowOff>313765</xdr:rowOff>
    </xdr:from>
    <xdr:to>
      <xdr:col>0</xdr:col>
      <xdr:colOff>1165413</xdr:colOff>
      <xdr:row>85</xdr:row>
      <xdr:rowOff>44824</xdr:rowOff>
    </xdr:to>
    <xdr:sp macro="" textlink="">
      <xdr:nvSpPr>
        <xdr:cNvPr id="2876" name="Flèche vers le bas 287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84</xdr:row>
      <xdr:rowOff>313765</xdr:rowOff>
    </xdr:from>
    <xdr:to>
      <xdr:col>0</xdr:col>
      <xdr:colOff>1165413</xdr:colOff>
      <xdr:row>85</xdr:row>
      <xdr:rowOff>44824</xdr:rowOff>
    </xdr:to>
    <xdr:sp macro="" textlink="">
      <xdr:nvSpPr>
        <xdr:cNvPr id="2877" name="Flèche vers le bas 287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84</xdr:row>
      <xdr:rowOff>313765</xdr:rowOff>
    </xdr:from>
    <xdr:to>
      <xdr:col>0</xdr:col>
      <xdr:colOff>1165413</xdr:colOff>
      <xdr:row>85</xdr:row>
      <xdr:rowOff>44824</xdr:rowOff>
    </xdr:to>
    <xdr:sp macro="" textlink="">
      <xdr:nvSpPr>
        <xdr:cNvPr id="2878" name="Flèche vers le bas 287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84</xdr:row>
      <xdr:rowOff>313765</xdr:rowOff>
    </xdr:from>
    <xdr:to>
      <xdr:col>0</xdr:col>
      <xdr:colOff>1165413</xdr:colOff>
      <xdr:row>85</xdr:row>
      <xdr:rowOff>44824</xdr:rowOff>
    </xdr:to>
    <xdr:sp macro="" textlink="">
      <xdr:nvSpPr>
        <xdr:cNvPr id="2879" name="Flèche vers le bas 287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84</xdr:row>
      <xdr:rowOff>313765</xdr:rowOff>
    </xdr:from>
    <xdr:to>
      <xdr:col>0</xdr:col>
      <xdr:colOff>1165413</xdr:colOff>
      <xdr:row>85</xdr:row>
      <xdr:rowOff>44824</xdr:rowOff>
    </xdr:to>
    <xdr:sp macro="" textlink="">
      <xdr:nvSpPr>
        <xdr:cNvPr id="2880" name="Flèche vers le bas 287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84</xdr:row>
      <xdr:rowOff>313765</xdr:rowOff>
    </xdr:from>
    <xdr:to>
      <xdr:col>0</xdr:col>
      <xdr:colOff>1165413</xdr:colOff>
      <xdr:row>85</xdr:row>
      <xdr:rowOff>44824</xdr:rowOff>
    </xdr:to>
    <xdr:sp macro="" textlink="">
      <xdr:nvSpPr>
        <xdr:cNvPr id="2881" name="Flèche vers le bas 288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84</xdr:row>
      <xdr:rowOff>313765</xdr:rowOff>
    </xdr:from>
    <xdr:to>
      <xdr:col>0</xdr:col>
      <xdr:colOff>1165413</xdr:colOff>
      <xdr:row>85</xdr:row>
      <xdr:rowOff>44824</xdr:rowOff>
    </xdr:to>
    <xdr:sp macro="" textlink="">
      <xdr:nvSpPr>
        <xdr:cNvPr id="2882" name="Flèche vers le bas 288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84</xdr:row>
      <xdr:rowOff>313765</xdr:rowOff>
    </xdr:from>
    <xdr:to>
      <xdr:col>0</xdr:col>
      <xdr:colOff>1165413</xdr:colOff>
      <xdr:row>85</xdr:row>
      <xdr:rowOff>44824</xdr:rowOff>
    </xdr:to>
    <xdr:sp macro="" textlink="">
      <xdr:nvSpPr>
        <xdr:cNvPr id="2883" name="Flèche vers le bas 288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85</xdr:row>
      <xdr:rowOff>313765</xdr:rowOff>
    </xdr:from>
    <xdr:to>
      <xdr:col>0</xdr:col>
      <xdr:colOff>1165413</xdr:colOff>
      <xdr:row>86</xdr:row>
      <xdr:rowOff>44824</xdr:rowOff>
    </xdr:to>
    <xdr:sp macro="" textlink="">
      <xdr:nvSpPr>
        <xdr:cNvPr id="2884" name="Flèche vers le bas 288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85</xdr:row>
      <xdr:rowOff>313765</xdr:rowOff>
    </xdr:from>
    <xdr:to>
      <xdr:col>0</xdr:col>
      <xdr:colOff>1165413</xdr:colOff>
      <xdr:row>86</xdr:row>
      <xdr:rowOff>44824</xdr:rowOff>
    </xdr:to>
    <xdr:sp macro="" textlink="">
      <xdr:nvSpPr>
        <xdr:cNvPr id="2885" name="Flèche vers le bas 288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85</xdr:row>
      <xdr:rowOff>313765</xdr:rowOff>
    </xdr:from>
    <xdr:to>
      <xdr:col>0</xdr:col>
      <xdr:colOff>1165413</xdr:colOff>
      <xdr:row>86</xdr:row>
      <xdr:rowOff>44824</xdr:rowOff>
    </xdr:to>
    <xdr:sp macro="" textlink="">
      <xdr:nvSpPr>
        <xdr:cNvPr id="2886" name="Flèche vers le bas 288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85</xdr:row>
      <xdr:rowOff>313765</xdr:rowOff>
    </xdr:from>
    <xdr:to>
      <xdr:col>0</xdr:col>
      <xdr:colOff>1165413</xdr:colOff>
      <xdr:row>86</xdr:row>
      <xdr:rowOff>44824</xdr:rowOff>
    </xdr:to>
    <xdr:sp macro="" textlink="">
      <xdr:nvSpPr>
        <xdr:cNvPr id="2887" name="Flèche vers le bas 288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85</xdr:row>
      <xdr:rowOff>313765</xdr:rowOff>
    </xdr:from>
    <xdr:to>
      <xdr:col>0</xdr:col>
      <xdr:colOff>1165413</xdr:colOff>
      <xdr:row>86</xdr:row>
      <xdr:rowOff>44824</xdr:rowOff>
    </xdr:to>
    <xdr:sp macro="" textlink="">
      <xdr:nvSpPr>
        <xdr:cNvPr id="2888" name="Flèche vers le bas 288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85</xdr:row>
      <xdr:rowOff>313765</xdr:rowOff>
    </xdr:from>
    <xdr:to>
      <xdr:col>0</xdr:col>
      <xdr:colOff>1165413</xdr:colOff>
      <xdr:row>86</xdr:row>
      <xdr:rowOff>44824</xdr:rowOff>
    </xdr:to>
    <xdr:sp macro="" textlink="">
      <xdr:nvSpPr>
        <xdr:cNvPr id="2889" name="Flèche vers le bas 288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85</xdr:row>
      <xdr:rowOff>313765</xdr:rowOff>
    </xdr:from>
    <xdr:to>
      <xdr:col>0</xdr:col>
      <xdr:colOff>1165413</xdr:colOff>
      <xdr:row>86</xdr:row>
      <xdr:rowOff>44824</xdr:rowOff>
    </xdr:to>
    <xdr:sp macro="" textlink="">
      <xdr:nvSpPr>
        <xdr:cNvPr id="2890" name="Flèche vers le bas 288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85</xdr:row>
      <xdr:rowOff>313765</xdr:rowOff>
    </xdr:from>
    <xdr:to>
      <xdr:col>0</xdr:col>
      <xdr:colOff>1165413</xdr:colOff>
      <xdr:row>86</xdr:row>
      <xdr:rowOff>44824</xdr:rowOff>
    </xdr:to>
    <xdr:sp macro="" textlink="">
      <xdr:nvSpPr>
        <xdr:cNvPr id="2891" name="Flèche vers le bas 289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85</xdr:row>
      <xdr:rowOff>313765</xdr:rowOff>
    </xdr:from>
    <xdr:to>
      <xdr:col>0</xdr:col>
      <xdr:colOff>1165413</xdr:colOff>
      <xdr:row>86</xdr:row>
      <xdr:rowOff>44824</xdr:rowOff>
    </xdr:to>
    <xdr:sp macro="" textlink="">
      <xdr:nvSpPr>
        <xdr:cNvPr id="2892" name="Flèche vers le bas 289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86</xdr:row>
      <xdr:rowOff>313765</xdr:rowOff>
    </xdr:from>
    <xdr:to>
      <xdr:col>0</xdr:col>
      <xdr:colOff>1165413</xdr:colOff>
      <xdr:row>87</xdr:row>
      <xdr:rowOff>44824</xdr:rowOff>
    </xdr:to>
    <xdr:sp macro="" textlink="">
      <xdr:nvSpPr>
        <xdr:cNvPr id="2893" name="Flèche vers le bas 289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86</xdr:row>
      <xdr:rowOff>313765</xdr:rowOff>
    </xdr:from>
    <xdr:to>
      <xdr:col>0</xdr:col>
      <xdr:colOff>1165413</xdr:colOff>
      <xdr:row>87</xdr:row>
      <xdr:rowOff>44824</xdr:rowOff>
    </xdr:to>
    <xdr:sp macro="" textlink="">
      <xdr:nvSpPr>
        <xdr:cNvPr id="2894" name="Flèche vers le bas 289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86</xdr:row>
      <xdr:rowOff>313765</xdr:rowOff>
    </xdr:from>
    <xdr:to>
      <xdr:col>0</xdr:col>
      <xdr:colOff>1165413</xdr:colOff>
      <xdr:row>87</xdr:row>
      <xdr:rowOff>44824</xdr:rowOff>
    </xdr:to>
    <xdr:sp macro="" textlink="">
      <xdr:nvSpPr>
        <xdr:cNvPr id="2895" name="Flèche vers le bas 289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86</xdr:row>
      <xdr:rowOff>313765</xdr:rowOff>
    </xdr:from>
    <xdr:to>
      <xdr:col>0</xdr:col>
      <xdr:colOff>1165413</xdr:colOff>
      <xdr:row>87</xdr:row>
      <xdr:rowOff>44824</xdr:rowOff>
    </xdr:to>
    <xdr:sp macro="" textlink="">
      <xdr:nvSpPr>
        <xdr:cNvPr id="2896" name="Flèche vers le bas 289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86</xdr:row>
      <xdr:rowOff>313765</xdr:rowOff>
    </xdr:from>
    <xdr:to>
      <xdr:col>0</xdr:col>
      <xdr:colOff>1165413</xdr:colOff>
      <xdr:row>87</xdr:row>
      <xdr:rowOff>44824</xdr:rowOff>
    </xdr:to>
    <xdr:sp macro="" textlink="">
      <xdr:nvSpPr>
        <xdr:cNvPr id="2897" name="Flèche vers le bas 289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86</xdr:row>
      <xdr:rowOff>313765</xdr:rowOff>
    </xdr:from>
    <xdr:to>
      <xdr:col>0</xdr:col>
      <xdr:colOff>1165413</xdr:colOff>
      <xdr:row>87</xdr:row>
      <xdr:rowOff>44824</xdr:rowOff>
    </xdr:to>
    <xdr:sp macro="" textlink="">
      <xdr:nvSpPr>
        <xdr:cNvPr id="2898" name="Flèche vers le bas 289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86</xdr:row>
      <xdr:rowOff>313765</xdr:rowOff>
    </xdr:from>
    <xdr:to>
      <xdr:col>0</xdr:col>
      <xdr:colOff>1165413</xdr:colOff>
      <xdr:row>87</xdr:row>
      <xdr:rowOff>44824</xdr:rowOff>
    </xdr:to>
    <xdr:sp macro="" textlink="">
      <xdr:nvSpPr>
        <xdr:cNvPr id="2899" name="Flèche vers le bas 289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86</xdr:row>
      <xdr:rowOff>313765</xdr:rowOff>
    </xdr:from>
    <xdr:to>
      <xdr:col>0</xdr:col>
      <xdr:colOff>1165413</xdr:colOff>
      <xdr:row>87</xdr:row>
      <xdr:rowOff>44824</xdr:rowOff>
    </xdr:to>
    <xdr:sp macro="" textlink="">
      <xdr:nvSpPr>
        <xdr:cNvPr id="2900" name="Flèche vers le bas 289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86</xdr:row>
      <xdr:rowOff>313765</xdr:rowOff>
    </xdr:from>
    <xdr:to>
      <xdr:col>0</xdr:col>
      <xdr:colOff>1165413</xdr:colOff>
      <xdr:row>87</xdr:row>
      <xdr:rowOff>44824</xdr:rowOff>
    </xdr:to>
    <xdr:sp macro="" textlink="">
      <xdr:nvSpPr>
        <xdr:cNvPr id="2901" name="Flèche vers le bas 290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2902" name="Flèche vers le bas 290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2903" name="Flèche vers le bas 290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2904" name="Flèche vers le bas 290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2905" name="Flèche vers le bas 290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2906" name="Flèche vers le bas 290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2907" name="Flèche vers le bas 290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2908" name="Flèche vers le bas 290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2909" name="Flèche vers le bas 290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2910" name="Flèche vers le bas 290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2911" name="Flèche vers le bas 291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2912" name="Flèche vers le bas 291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2913" name="Flèche vers le bas 291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2914" name="Flèche vers le bas 291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2915" name="Flèche vers le bas 291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2916" name="Flèche vers le bas 291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2917" name="Flèche vers le bas 291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2918" name="Flèche vers le bas 291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2919" name="Flèche vers le bas 291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2920" name="Flèche vers le bas 291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2921" name="Flèche vers le bas 292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2922" name="Flèche vers le bas 292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2923" name="Flèche vers le bas 292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2924" name="Flèche vers le bas 292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2925" name="Flèche vers le bas 292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2926" name="Flèche vers le bas 292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2927" name="Flèche vers le bas 292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2928" name="Flèche vers le bas 292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2929" name="Flèche vers le bas 292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2930" name="Flèche vers le bas 292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2931" name="Flèche vers le bas 293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2932" name="Flèche vers le bas 293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2933" name="Flèche vers le bas 293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2934" name="Flèche vers le bas 293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2935" name="Flèche vers le bas 293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2936" name="Flèche vers le bas 293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2937" name="Flèche vers le bas 293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2938" name="Flèche vers le bas 293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2939" name="Flèche vers le bas 293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2940" name="Flèche vers le bas 293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2941" name="Flèche vers le bas 294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2942" name="Flèche vers le bas 294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2943" name="Flèche vers le bas 294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2944" name="Flèche vers le bas 294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2945" name="Flèche vers le bas 294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2946" name="Flèche vers le bas 294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2947" name="Flèche vers le bas 294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2948" name="Flèche vers le bas 294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2949" name="Flèche vers le bas 294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2950" name="Flèche vers le bas 294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2951" name="Flèche vers le bas 295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2952" name="Flèche vers le bas 295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2953" name="Flèche vers le bas 295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2954" name="Flèche vers le bas 295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2955" name="Flèche vers le bas 295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2956" name="Flèche vers le bas 295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2957" name="Flèche vers le bas 295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2958" name="Flèche vers le bas 295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2959" name="Flèche vers le bas 295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2960" name="Flèche vers le bas 295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2961" name="Flèche vers le bas 296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2962" name="Flèche vers le bas 296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2963" name="Flèche vers le bas 296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2964" name="Flèche vers le bas 296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2965" name="Flèche vers le bas 296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2966" name="Flèche vers le bas 296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2967" name="Flèche vers le bas 296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2968" name="Flèche vers le bas 296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2969" name="Flèche vers le bas 296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2970" name="Flèche vers le bas 296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2971" name="Flèche vers le bas 297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2972" name="Flèche vers le bas 297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2973" name="Flèche vers le bas 297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2974" name="Flèche vers le bas 297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2975" name="Flèche vers le bas 297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2976" name="Flèche vers le bas 297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2977" name="Flèche vers le bas 297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2978" name="Flèche vers le bas 297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2979" name="Flèche vers le bas 297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2980" name="Flèche vers le bas 297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2981" name="Flèche vers le bas 298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2982" name="Flèche vers le bas 298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2983" name="Flèche vers le bas 298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2984" name="Flèche vers le bas 298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2985" name="Flèche vers le bas 298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2986" name="Flèche vers le bas 298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2987" name="Flèche vers le bas 298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2988" name="Flèche vers le bas 298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2989" name="Flèche vers le bas 298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2990" name="Flèche vers le bas 298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2991" name="Flèche vers le bas 299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2992" name="Flèche vers le bas 299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2993" name="Flèche vers le bas 299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2994" name="Flèche vers le bas 299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2995" name="Flèche vers le bas 299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2996" name="Flèche vers le bas 299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2997" name="Flèche vers le bas 299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2998" name="Flèche vers le bas 299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2999" name="Flèche vers le bas 299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3000" name="Flèche vers le bas 299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3001" name="Flèche vers le bas 300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3002" name="Flèche vers le bas 300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3003" name="Flèche vers le bas 300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3004" name="Flèche vers le bas 300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3005" name="Flèche vers le bas 300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3006" name="Flèche vers le bas 300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3007" name="Flèche vers le bas 300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3008" name="Flèche vers le bas 300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3009" name="Flèche vers le bas 300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3010" name="Flèche vers le bas 300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3011" name="Flèche vers le bas 301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3012" name="Flèche vers le bas 301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3013" name="Flèche vers le bas 301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3014" name="Flèche vers le bas 301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3015" name="Flèche vers le bas 301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3016" name="Flèche vers le bas 301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3017" name="Flèche vers le bas 301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3018" name="Flèche vers le bas 301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3019" name="Flèche vers le bas 301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3020" name="Flèche vers le bas 301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3021" name="Flèche vers le bas 302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3022" name="Flèche vers le bas 302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3023" name="Flèche vers le bas 302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3024" name="Flèche vers le bas 302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3025" name="Flèche vers le bas 302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3026" name="Flèche vers le bas 302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3027" name="Flèche vers le bas 302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3028" name="Flèche vers le bas 302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3029" name="Flèche vers le bas 302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3030" name="Flèche vers le bas 302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3031" name="Flèche vers le bas 303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3032" name="Flèche vers le bas 303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3033" name="Flèche vers le bas 303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3034" name="Flèche vers le bas 303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3035" name="Flèche vers le bas 303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3036" name="Flèche vers le bas 303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3037" name="Flèche vers le bas 303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3038" name="Flèche vers le bas 303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3039" name="Flèche vers le bas 303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3040" name="Flèche vers le bas 303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3041" name="Flèche vers le bas 304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3042" name="Flèche vers le bas 304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3043" name="Flèche vers le bas 304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3044" name="Flèche vers le bas 304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3045" name="Flèche vers le bas 304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3046" name="Flèche vers le bas 304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3047" name="Flèche vers le bas 304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3048" name="Flèche vers le bas 304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3049" name="Flèche vers le bas 304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3050" name="Flèche vers le bas 304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3051" name="Flèche vers le bas 305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3052" name="Flèche vers le bas 305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3053" name="Flèche vers le bas 305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3054" name="Flèche vers le bas 305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3055" name="Flèche vers le bas 305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3056" name="Flèche vers le bas 305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3057" name="Flèche vers le bas 305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3058" name="Flèche vers le bas 305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3059" name="Flèche vers le bas 305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3060" name="Flèche vers le bas 305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3061" name="Flèche vers le bas 306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3062" name="Flèche vers le bas 306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3063" name="Flèche vers le bas 306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3064" name="Flèche vers le bas 306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3065" name="Flèche vers le bas 306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3066" name="Flèche vers le bas 306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3067" name="Flèche vers le bas 306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3068" name="Flèche vers le bas 306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3069" name="Flèche vers le bas 306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3070" name="Flèche vers le bas 306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3071" name="Flèche vers le bas 307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3072" name="Flèche vers le bas 307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3073" name="Flèche vers le bas 307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3074" name="Flèche vers le bas 307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3075" name="Flèche vers le bas 307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3076" name="Flèche vers le bas 307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3077" name="Flèche vers le bas 307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3078" name="Flèche vers le bas 307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3079" name="Flèche vers le bas 307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3080" name="Flèche vers le bas 307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3081" name="Flèche vers le bas 308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3082" name="Flèche vers le bas 308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3083" name="Flèche vers le bas 308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3084" name="Flèche vers le bas 308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3085" name="Flèche vers le bas 308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3086" name="Flèche vers le bas 308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3087" name="Flèche vers le bas 308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3088" name="Flèche vers le bas 308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3089" name="Flèche vers le bas 308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3090" name="Flèche vers le bas 308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3091" name="Flèche vers le bas 309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3092" name="Flèche vers le bas 309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3093" name="Flèche vers le bas 309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3094" name="Flèche vers le bas 309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3095" name="Flèche vers le bas 309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3096" name="Flèche vers le bas 309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3097" name="Flèche vers le bas 309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3098" name="Flèche vers le bas 309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3099" name="Flèche vers le bas 309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3100" name="Flèche vers le bas 309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3101" name="Flèche vers le bas 310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3102" name="Flèche vers le bas 310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3103" name="Flèche vers le bas 310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3104" name="Flèche vers le bas 310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3105" name="Flèche vers le bas 310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3106" name="Flèche vers le bas 310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3107" name="Flèche vers le bas 310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3108" name="Flèche vers le bas 310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112</xdr:row>
      <xdr:rowOff>0</xdr:rowOff>
    </xdr:from>
    <xdr:to>
      <xdr:col>0</xdr:col>
      <xdr:colOff>1165413</xdr:colOff>
      <xdr:row>112</xdr:row>
      <xdr:rowOff>44824</xdr:rowOff>
    </xdr:to>
    <xdr:sp macro="" textlink="">
      <xdr:nvSpPr>
        <xdr:cNvPr id="3118" name="Flèche vers le bas 311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112</xdr:row>
      <xdr:rowOff>0</xdr:rowOff>
    </xdr:from>
    <xdr:to>
      <xdr:col>0</xdr:col>
      <xdr:colOff>1165413</xdr:colOff>
      <xdr:row>112</xdr:row>
      <xdr:rowOff>44824</xdr:rowOff>
    </xdr:to>
    <xdr:sp macro="" textlink="">
      <xdr:nvSpPr>
        <xdr:cNvPr id="3119" name="Flèche vers le bas 311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112</xdr:row>
      <xdr:rowOff>0</xdr:rowOff>
    </xdr:from>
    <xdr:to>
      <xdr:col>0</xdr:col>
      <xdr:colOff>1165413</xdr:colOff>
      <xdr:row>112</xdr:row>
      <xdr:rowOff>44824</xdr:rowOff>
    </xdr:to>
    <xdr:sp macro="" textlink="">
      <xdr:nvSpPr>
        <xdr:cNvPr id="3120" name="Flèche vers le bas 311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112</xdr:row>
      <xdr:rowOff>0</xdr:rowOff>
    </xdr:from>
    <xdr:to>
      <xdr:col>0</xdr:col>
      <xdr:colOff>1165413</xdr:colOff>
      <xdr:row>112</xdr:row>
      <xdr:rowOff>44824</xdr:rowOff>
    </xdr:to>
    <xdr:sp macro="" textlink="">
      <xdr:nvSpPr>
        <xdr:cNvPr id="3121" name="Flèche vers le bas 312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112</xdr:row>
      <xdr:rowOff>0</xdr:rowOff>
    </xdr:from>
    <xdr:to>
      <xdr:col>0</xdr:col>
      <xdr:colOff>1165413</xdr:colOff>
      <xdr:row>112</xdr:row>
      <xdr:rowOff>44824</xdr:rowOff>
    </xdr:to>
    <xdr:sp macro="" textlink="">
      <xdr:nvSpPr>
        <xdr:cNvPr id="3122" name="Flèche vers le bas 312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112</xdr:row>
      <xdr:rowOff>0</xdr:rowOff>
    </xdr:from>
    <xdr:to>
      <xdr:col>0</xdr:col>
      <xdr:colOff>1165413</xdr:colOff>
      <xdr:row>112</xdr:row>
      <xdr:rowOff>44824</xdr:rowOff>
    </xdr:to>
    <xdr:sp macro="" textlink="">
      <xdr:nvSpPr>
        <xdr:cNvPr id="3123" name="Flèche vers le bas 312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112</xdr:row>
      <xdr:rowOff>0</xdr:rowOff>
    </xdr:from>
    <xdr:to>
      <xdr:col>0</xdr:col>
      <xdr:colOff>1165413</xdr:colOff>
      <xdr:row>112</xdr:row>
      <xdr:rowOff>44824</xdr:rowOff>
    </xdr:to>
    <xdr:sp macro="" textlink="">
      <xdr:nvSpPr>
        <xdr:cNvPr id="3124" name="Flèche vers le bas 312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112</xdr:row>
      <xdr:rowOff>0</xdr:rowOff>
    </xdr:from>
    <xdr:to>
      <xdr:col>0</xdr:col>
      <xdr:colOff>1165413</xdr:colOff>
      <xdr:row>112</xdr:row>
      <xdr:rowOff>44824</xdr:rowOff>
    </xdr:to>
    <xdr:sp macro="" textlink="">
      <xdr:nvSpPr>
        <xdr:cNvPr id="3125" name="Flèche vers le bas 312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112</xdr:row>
      <xdr:rowOff>0</xdr:rowOff>
    </xdr:from>
    <xdr:to>
      <xdr:col>0</xdr:col>
      <xdr:colOff>1165413</xdr:colOff>
      <xdr:row>112</xdr:row>
      <xdr:rowOff>44824</xdr:rowOff>
    </xdr:to>
    <xdr:sp macro="" textlink="">
      <xdr:nvSpPr>
        <xdr:cNvPr id="3126" name="Flèche vers le bas 312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3127" name="Flèche vers le bas 312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3128" name="Flèche vers le bas 312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3129" name="Flèche vers le bas 312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3130" name="Flèche vers le bas 312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3131" name="Flèche vers le bas 313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3132" name="Flèche vers le bas 313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3133" name="Flèche vers le bas 313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3134" name="Flèche vers le bas 313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3135" name="Flèche vers le bas 313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3136" name="Flèche vers le bas 313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3137" name="Flèche vers le bas 313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3138" name="Flèche vers le bas 313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3139" name="Flèche vers le bas 313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3140" name="Flèche vers le bas 313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3141" name="Flèche vers le bas 314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3142" name="Flèche vers le bas 314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3143" name="Flèche vers le bas 314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3144" name="Flèche vers le bas 314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3145" name="Flèche vers le bas 314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3146" name="Flèche vers le bas 314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3147" name="Flèche vers le bas 314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3148" name="Flèche vers le bas 314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3149" name="Flèche vers le bas 314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3150" name="Flèche vers le bas 314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3151" name="Flèche vers le bas 315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3152" name="Flèche vers le bas 315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3153" name="Flèche vers le bas 315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3154" name="Flèche vers le bas 315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3155" name="Flèche vers le bas 315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3156" name="Flèche vers le bas 315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3157" name="Flèche vers le bas 315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3158" name="Flèche vers le bas 315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3159" name="Flèche vers le bas 315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3160" name="Flèche vers le bas 315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3161" name="Flèche vers le bas 316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3162" name="Flèche vers le bas 316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3163" name="Flèche vers le bas 316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3164" name="Flèche vers le bas 316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3165" name="Flèche vers le bas 316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3166" name="Flèche vers le bas 316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3167" name="Flèche vers le bas 316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3168" name="Flèche vers le bas 316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3169" name="Flèche vers le bas 316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3170" name="Flèche vers le bas 316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3171" name="Flèche vers le bas 317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3172" name="Flèche vers le bas 317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3173" name="Flèche vers le bas 317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3174" name="Flèche vers le bas 317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3175" name="Flèche vers le bas 317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3176" name="Flèche vers le bas 317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3177" name="Flèche vers le bas 317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3178" name="Flèche vers le bas 317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3179" name="Flèche vers le bas 317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3180" name="Flèche vers le bas 317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3181" name="Flèche vers le bas 318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3182" name="Flèche vers le bas 318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3183" name="Flèche vers le bas 318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3184" name="Flèche vers le bas 318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3185" name="Flèche vers le bas 318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3186" name="Flèche vers le bas 318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3187" name="Flèche vers le bas 318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3188" name="Flèche vers le bas 318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3189" name="Flèche vers le bas 318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3190" name="Flèche vers le bas 318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3191" name="Flèche vers le bas 319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3192" name="Flèche vers le bas 319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3193" name="Flèche vers le bas 319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3194" name="Flèche vers le bas 319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3195" name="Flèche vers le bas 319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3196" name="Flèche vers le bas 319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3197" name="Flèche vers le bas 319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3198" name="Flèche vers le bas 319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3199" name="Flèche vers le bas 319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3200" name="Flèche vers le bas 319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3201" name="Flèche vers le bas 320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3202" name="Flèche vers le bas 320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3203" name="Flèche vers le bas 320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3204" name="Flèche vers le bas 320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3205" name="Flèche vers le bas 320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3206" name="Flèche vers le bas 320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3207" name="Flèche vers le bas 320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3208" name="Flèche vers le bas 320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3209" name="Flèche vers le bas 320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3210" name="Flèche vers le bas 320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3211" name="Flèche vers le bas 321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3212" name="Flèche vers le bas 321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3213" name="Flèche vers le bas 321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3214" name="Flèche vers le bas 321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3215" name="Flèche vers le bas 321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3216" name="Flèche vers le bas 321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3217" name="Flèche vers le bas 321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3218" name="Flèche vers le bas 321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3219" name="Flèche vers le bas 321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3220" name="Flèche vers le bas 321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3221" name="Flèche vers le bas 322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3222" name="Flèche vers le bas 322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3223" name="Flèche vers le bas 322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3224" name="Flèche vers le bas 322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3225" name="Flèche vers le bas 322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3226" name="Flèche vers le bas 322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3227" name="Flèche vers le bas 322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3228" name="Flèche vers le bas 322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3229" name="Flèche vers le bas 322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3230" name="Flèche vers le bas 322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3231" name="Flèche vers le bas 323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3232" name="Flèche vers le bas 323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3233" name="Flèche vers le bas 323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3234" name="Flèche vers le bas 323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3235" name="Flèche vers le bas 323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3236" name="Flèche vers le bas 323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3237" name="Flèche vers le bas 323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3238" name="Flèche vers le bas 323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3239" name="Flèche vers le bas 323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3240" name="Flèche vers le bas 323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3241" name="Flèche vers le bas 324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3242" name="Flèche vers le bas 324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3243" name="Flèche vers le bas 324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3244" name="Flèche vers le bas 324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3245" name="Flèche vers le bas 324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3246" name="Flèche vers le bas 324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3247" name="Flèche vers le bas 324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3248" name="Flèche vers le bas 324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3249" name="Flèche vers le bas 324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3250" name="Flèche vers le bas 324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3251" name="Flèche vers le bas 325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3252" name="Flèche vers le bas 325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3253" name="Flèche vers le bas 325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3254" name="Flèche vers le bas 325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3255" name="Flèche vers le bas 325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3256" name="Flèche vers le bas 325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3257" name="Flèche vers le bas 325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3258" name="Flèche vers le bas 325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3259" name="Flèche vers le bas 325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3260" name="Flèche vers le bas 325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3261" name="Flèche vers le bas 326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3262" name="Flèche vers le bas 326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3263" name="Flèche vers le bas 326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3264" name="Flèche vers le bas 326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3265" name="Flèche vers le bas 326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3266" name="Flèche vers le bas 326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3267" name="Flèche vers le bas 326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3268" name="Flèche vers le bas 326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3269" name="Flèche vers le bas 326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3270" name="Flèche vers le bas 326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3271" name="Flèche vers le bas 327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3272" name="Flèche vers le bas 327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3273" name="Flèche vers le bas 327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3274" name="Flèche vers le bas 327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3275" name="Flèche vers le bas 327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3276" name="Flèche vers le bas 327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3277" name="Flèche vers le bas 327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3278" name="Flèche vers le bas 327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3279" name="Flèche vers le bas 327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3280" name="Flèche vers le bas 327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3281" name="Flèche vers le bas 328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3282" name="Flèche vers le bas 328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3283" name="Flèche vers le bas 328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3284" name="Flèche vers le bas 328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3285" name="Flèche vers le bas 328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3286" name="Flèche vers le bas 328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3287" name="Flèche vers le bas 328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3288" name="Flèche vers le bas 328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3289" name="Flèche vers le bas 328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3290" name="Flèche vers le bas 328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3291" name="Flèche vers le bas 329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3292" name="Flèche vers le bas 329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3293" name="Flèche vers le bas 329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3294" name="Flèche vers le bas 329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3295" name="Flèche vers le bas 329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3296" name="Flèche vers le bas 329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3297" name="Flèche vers le bas 329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3298" name="Flèche vers le bas 329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3299" name="Flèche vers le bas 329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3300" name="Flèche vers le bas 329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3301" name="Flèche vers le bas 330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3302" name="Flèche vers le bas 330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3303" name="Flèche vers le bas 330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3304" name="Flèche vers le bas 330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3305" name="Flèche vers le bas 330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3306" name="Flèche vers le bas 330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3307" name="Flèche vers le bas 330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3308" name="Flèche vers le bas 330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3309" name="Flèche vers le bas 330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3310" name="Flèche vers le bas 330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3311" name="Flèche vers le bas 331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3312" name="Flèche vers le bas 331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3313" name="Flèche vers le bas 331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3314" name="Flèche vers le bas 331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3315" name="Flèche vers le bas 331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3316" name="Flèche vers le bas 331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3317" name="Flèche vers le bas 331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3318" name="Flèche vers le bas 331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3319" name="Flèche vers le bas 331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3320" name="Flèche vers le bas 331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3321" name="Flèche vers le bas 332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3322" name="Flèche vers le bas 332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3323" name="Flèche vers le bas 332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3324" name="Flèche vers le bas 332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3325" name="Flèche vers le bas 332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3326" name="Flèche vers le bas 332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3327" name="Flèche vers le bas 332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3328" name="Flèche vers le bas 332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3329" name="Flèche vers le bas 332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3330" name="Flèche vers le bas 332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3331" name="Flèche vers le bas 333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3332" name="Flèche vers le bas 333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3333" name="Flèche vers le bas 333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3334" name="Flèche vers le bas 333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3335" name="Flèche vers le bas 333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3336" name="Flèche vers le bas 333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3337" name="Flèche vers le bas 333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3338" name="Flèche vers le bas 333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3339" name="Flèche vers le bas 333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3340" name="Flèche vers le bas 333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3341" name="Flèche vers le bas 334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3342" name="Flèche vers le bas 334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3343" name="Flèche vers le bas 334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3344" name="Flèche vers le bas 334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3345" name="Flèche vers le bas 334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3346" name="Flèche vers le bas 334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3347" name="Flèche vers le bas 334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3348" name="Flèche vers le bas 334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3349" name="Flèche vers le bas 334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3350" name="Flèche vers le bas 334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3351" name="Flèche vers le bas 335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3352" name="Flèche vers le bas 335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3353" name="Flèche vers le bas 335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3354" name="Flèche vers le bas 335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3355" name="Flèche vers le bas 335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3356" name="Flèche vers le bas 335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3357" name="Flèche vers le bas 335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3358" name="Flèche vers le bas 335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3359" name="Flèche vers le bas 335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3360" name="Flèche vers le bas 335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3361" name="Flèche vers le bas 336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3362" name="Flèche vers le bas 336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3363" name="Flèche vers le bas 336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3364" name="Flèche vers le bas 336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3365" name="Flèche vers le bas 336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3366" name="Flèche vers le bas 336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3367" name="Flèche vers le bas 336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3368" name="Flèche vers le bas 336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3369" name="Flèche vers le bas 336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3370" name="Flèche vers le bas 336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3371" name="Flèche vers le bas 337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3372" name="Flèche vers le bas 337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3373" name="Flèche vers le bas 337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3374" name="Flèche vers le bas 337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3375" name="Flèche vers le bas 337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3376" name="Flèche vers le bas 337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3377" name="Flèche vers le bas 337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3378" name="Flèche vers le bas 337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3379" name="Flèche vers le bas 337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3380" name="Flèche vers le bas 337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3381" name="Flèche vers le bas 338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3382" name="Flèche vers le bas 338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3383" name="Flèche vers le bas 338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3384" name="Flèche vers le bas 338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3385" name="Flèche vers le bas 338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3386" name="Flèche vers le bas 338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3387" name="Flèche vers le bas 338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3388" name="Flèche vers le bas 338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3389" name="Flèche vers le bas 338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3390" name="Flèche vers le bas 338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3391" name="Flèche vers le bas 339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3392" name="Flèche vers le bas 339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3393" name="Flèche vers le bas 339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3394" name="Flèche vers le bas 339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3395" name="Flèche vers le bas 339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3396" name="Flèche vers le bas 339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3397" name="Flèche vers le bas 339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3398" name="Flèche vers le bas 339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3399" name="Flèche vers le bas 339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3400" name="Flèche vers le bas 339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3401" name="Flèche vers le bas 340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3402" name="Flèche vers le bas 340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3403" name="Flèche vers le bas 340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3404" name="Flèche vers le bas 340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3405" name="Flèche vers le bas 340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3406" name="Flèche vers le bas 340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3407" name="Flèche vers le bas 340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3408" name="Flèche vers le bas 340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3409" name="Flèche vers le bas 340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3410" name="Flèche vers le bas 340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3411" name="Flèche vers le bas 341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3412" name="Flèche vers le bas 341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3413" name="Flèche vers le bas 341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3414" name="Flèche vers le bas 341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3415" name="Flèche vers le bas 341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3416" name="Flèche vers le bas 341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3417" name="Flèche vers le bas 341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3418" name="Flèche vers le bas 341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3419" name="Flèche vers le bas 341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3420" name="Flèche vers le bas 341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3421" name="Flèche vers le bas 342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3422" name="Flèche vers le bas 342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3423" name="Flèche vers le bas 342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3424" name="Flèche vers le bas 342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3425" name="Flèche vers le bas 342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3426" name="Flèche vers le bas 342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3427" name="Flèche vers le bas 342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3428" name="Flèche vers le bas 342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3429" name="Flèche vers le bas 342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3430" name="Flèche vers le bas 342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3431" name="Flèche vers le bas 343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3432" name="Flèche vers le bas 343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3433" name="Flèche vers le bas 343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3434" name="Flèche vers le bas 343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3435" name="Flèche vers le bas 343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3436" name="Flèche vers le bas 343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3437" name="Flèche vers le bas 343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3438" name="Flèche vers le bas 343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3439" name="Flèche vers le bas 343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3440" name="Flèche vers le bas 343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3441" name="Flèche vers le bas 344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3442" name="Flèche vers le bas 344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3443" name="Flèche vers le bas 344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3444" name="Flèche vers le bas 344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3445" name="Flèche vers le bas 344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3446" name="Flèche vers le bas 344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3447" name="Flèche vers le bas 344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3448" name="Flèche vers le bas 344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3449" name="Flèche vers le bas 344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3450" name="Flèche vers le bas 344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3451" name="Flèche vers le bas 345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3452" name="Flèche vers le bas 345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3453" name="Flèche vers le bas 345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3454" name="Flèche vers le bas 345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3455" name="Flèche vers le bas 345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3456" name="Flèche vers le bas 345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3457" name="Flèche vers le bas 345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3458" name="Flèche vers le bas 345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3459" name="Flèche vers le bas 345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3460" name="Flèche vers le bas 345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3461" name="Flèche vers le bas 346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3462" name="Flèche vers le bas 346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3463" name="Flèche vers le bas 346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3464" name="Flèche vers le bas 346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3465" name="Flèche vers le bas 346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3466" name="Flèche vers le bas 346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3467" name="Flèche vers le bas 346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3468" name="Flèche vers le bas 346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3469" name="Flèche vers le bas 346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3470" name="Flèche vers le bas 346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3471" name="Flèche vers le bas 347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3472" name="Flèche vers le bas 347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3473" name="Flèche vers le bas 347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3474" name="Flèche vers le bas 347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3475" name="Flèche vers le bas 347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3476" name="Flèche vers le bas 347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3477" name="Flèche vers le bas 347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3478" name="Flèche vers le bas 347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3479" name="Flèche vers le bas 347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3480" name="Flèche vers le bas 347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3481" name="Flèche vers le bas 348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3482" name="Flèche vers le bas 348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3483" name="Flèche vers le bas 348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3484" name="Flèche vers le bas 348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3485" name="Flèche vers le bas 348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3486" name="Flèche vers le bas 348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3487" name="Flèche vers le bas 348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3488" name="Flèche vers le bas 348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3489" name="Flèche vers le bas 348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3490" name="Flèche vers le bas 348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3491" name="Flèche vers le bas 349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3492" name="Flèche vers le bas 349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3493" name="Flèche vers le bas 349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3494" name="Flèche vers le bas 349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3495" name="Flèche vers le bas 349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3496" name="Flèche vers le bas 349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3497" name="Flèche vers le bas 349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3498" name="Flèche vers le bas 349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3499" name="Flèche vers le bas 349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3500" name="Flèche vers le bas 349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3501" name="Flèche vers le bas 350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3502" name="Flèche vers le bas 350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3503" name="Flèche vers le bas 350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3504" name="Flèche vers le bas 350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3505" name="Flèche vers le bas 350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3506" name="Flèche vers le bas 350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3507" name="Flèche vers le bas 350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3508" name="Flèche vers le bas 350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3509" name="Flèche vers le bas 350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3510" name="Flèche vers le bas 350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3511" name="Flèche vers le bas 351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3512" name="Flèche vers le bas 351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3513" name="Flèche vers le bas 351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3514" name="Flèche vers le bas 351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3515" name="Flèche vers le bas 351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3516" name="Flèche vers le bas 351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3517" name="Flèche vers le bas 351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3518" name="Flèche vers le bas 351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3519" name="Flèche vers le bas 351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3520" name="Flèche vers le bas 351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3521" name="Flèche vers le bas 352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3522" name="Flèche vers le bas 352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3523" name="Flèche vers le bas 352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3524" name="Flèche vers le bas 352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3525" name="Flèche vers le bas 352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3526" name="Flèche vers le bas 352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3527" name="Flèche vers le bas 352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3528" name="Flèche vers le bas 352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3529" name="Flèche vers le bas 352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3530" name="Flèche vers le bas 352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3531" name="Flèche vers le bas 353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3532" name="Flèche vers le bas 353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3533" name="Flèche vers le bas 353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3534" name="Flèche vers le bas 353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3535" name="Flèche vers le bas 353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3536" name="Flèche vers le bas 353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3537" name="Flèche vers le bas 353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3538" name="Flèche vers le bas 353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3539" name="Flèche vers le bas 353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3540" name="Flèche vers le bas 353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3541" name="Flèche vers le bas 354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3542" name="Flèche vers le bas 354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3543" name="Flèche vers le bas 354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3544" name="Flèche vers le bas 354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3545" name="Flèche vers le bas 354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3546" name="Flèche vers le bas 354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3547" name="Flèche vers le bas 354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3548" name="Flèche vers le bas 354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3549" name="Flèche vers le bas 354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3550" name="Flèche vers le bas 354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3551" name="Flèche vers le bas 355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3552" name="Flèche vers le bas 355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3553" name="Flèche vers le bas 355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3554" name="Flèche vers le bas 355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3555" name="Flèche vers le bas 355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3556" name="Flèche vers le bas 355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3557" name="Flèche vers le bas 355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3558" name="Flèche vers le bas 355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3559" name="Flèche vers le bas 355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3560" name="Flèche vers le bas 355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3561" name="Flèche vers le bas 356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3562" name="Flèche vers le bas 356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3563" name="Flèche vers le bas 356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3564" name="Flèche vers le bas 356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3565" name="Flèche vers le bas 356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3566" name="Flèche vers le bas 356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3567" name="Flèche vers le bas 356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3568" name="Flèche vers le bas 356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3569" name="Flèche vers le bas 356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3570" name="Flèche vers le bas 356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3571" name="Flèche vers le bas 357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3572" name="Flèche vers le bas 357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3573" name="Flèche vers le bas 357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3574" name="Flèche vers le bas 357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3575" name="Flèche vers le bas 357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3576" name="Flèche vers le bas 357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3577" name="Flèche vers le bas 357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3578" name="Flèche vers le bas 357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3579" name="Flèche vers le bas 357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3580" name="Flèche vers le bas 357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3581" name="Flèche vers le bas 358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3582" name="Flèche vers le bas 358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3583" name="Flèche vers le bas 358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3584" name="Flèche vers le bas 358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3585" name="Flèche vers le bas 358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3586" name="Flèche vers le bas 358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3587" name="Flèche vers le bas 358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3588" name="Flèche vers le bas 358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3589" name="Flèche vers le bas 358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3590" name="Flèche vers le bas 358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3591" name="Flèche vers le bas 359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3592" name="Flèche vers le bas 359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3593" name="Flèche vers le bas 359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3594" name="Flèche vers le bas 359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3595" name="Flèche vers le bas 359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3596" name="Flèche vers le bas 359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3597" name="Flèche vers le bas 359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3598" name="Flèche vers le bas 359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3599" name="Flèche vers le bas 359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3600" name="Flèche vers le bas 359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3601" name="Flèche vers le bas 360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3602" name="Flèche vers le bas 360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3603" name="Flèche vers le bas 360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3604" name="Flèche vers le bas 360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3605" name="Flèche vers le bas 360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3606" name="Flèche vers le bas 360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3607" name="Flèche vers le bas 360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3608" name="Flèche vers le bas 360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3609" name="Flèche vers le bas 360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3610" name="Flèche vers le bas 360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3611" name="Flèche vers le bas 361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3612" name="Flèche vers le bas 361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3613" name="Flèche vers le bas 361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3614" name="Flèche vers le bas 361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3615" name="Flèche vers le bas 361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3616" name="Flèche vers le bas 361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3617" name="Flèche vers le bas 361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3618" name="Flèche vers le bas 361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3619" name="Flèche vers le bas 361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3620" name="Flèche vers le bas 361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3621" name="Flèche vers le bas 362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3622" name="Flèche vers le bas 362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3623" name="Flèche vers le bas 362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3624" name="Flèche vers le bas 362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3625" name="Flèche vers le bas 362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3626" name="Flèche vers le bas 362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3627" name="Flèche vers le bas 362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3628" name="Flèche vers le bas 362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3629" name="Flèche vers le bas 362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3630" name="Flèche vers le bas 362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3631" name="Flèche vers le bas 363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3632" name="Flèche vers le bas 363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3633" name="Flèche vers le bas 363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3634" name="Flèche vers le bas 363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3635" name="Flèche vers le bas 363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3636" name="Flèche vers le bas 363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3637" name="Flèche vers le bas 363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3638" name="Flèche vers le bas 363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3639" name="Flèche vers le bas 363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3640" name="Flèche vers le bas 363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3641" name="Flèche vers le bas 364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3642" name="Flèche vers le bas 364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3643" name="Flèche vers le bas 364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3644" name="Flèche vers le bas 364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3645" name="Flèche vers le bas 364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3646" name="Flèche vers le bas 364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3647" name="Flèche vers le bas 364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3648" name="Flèche vers le bas 364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3649" name="Flèche vers le bas 364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3650" name="Flèche vers le bas 364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3651" name="Flèche vers le bas 365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3652" name="Flèche vers le bas 365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3653" name="Flèche vers le bas 365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3654" name="Flèche vers le bas 365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3655" name="Flèche vers le bas 365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3656" name="Flèche vers le bas 365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3657" name="Flèche vers le bas 365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3658" name="Flèche vers le bas 365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3659" name="Flèche vers le bas 365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3660" name="Flèche vers le bas 365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3661" name="Flèche vers le bas 366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3662" name="Flèche vers le bas 366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3663" name="Flèche vers le bas 366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3664" name="Flèche vers le bas 366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3665" name="Flèche vers le bas 366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3666" name="Flèche vers le bas 366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3667" name="Flèche vers le bas 366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3668" name="Flèche vers le bas 366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3669" name="Flèche vers le bas 366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3670" name="Flèche vers le bas 366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3671" name="Flèche vers le bas 367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3672" name="Flèche vers le bas 367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3673" name="Flèche vers le bas 367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3674" name="Flèche vers le bas 367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3675" name="Flèche vers le bas 367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3676" name="Flèche vers le bas 367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3677" name="Flèche vers le bas 367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3678" name="Flèche vers le bas 367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3679" name="Flèche vers le bas 367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3680" name="Flèche vers le bas 367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3681" name="Flèche vers le bas 368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3682" name="Flèche vers le bas 368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3683" name="Flèche vers le bas 368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3684" name="Flèche vers le bas 368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3685" name="Flèche vers le bas 368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3686" name="Flèche vers le bas 368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3687" name="Flèche vers le bas 368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3688" name="Flèche vers le bas 368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3689" name="Flèche vers le bas 368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3690" name="Flèche vers le bas 368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3691" name="Flèche vers le bas 369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3692" name="Flèche vers le bas 369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3693" name="Flèche vers le bas 369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3694" name="Flèche vers le bas 369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3695" name="Flèche vers le bas 369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3696" name="Flèche vers le bas 369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3697" name="Flèche vers le bas 369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3698" name="Flèche vers le bas 369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3699" name="Flèche vers le bas 369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3700" name="Flèche vers le bas 369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3701" name="Flèche vers le bas 370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3702" name="Flèche vers le bas 370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3703" name="Flèche vers le bas 370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3704" name="Flèche vers le bas 370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3705" name="Flèche vers le bas 370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3706" name="Flèche vers le bas 370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3707" name="Flèche vers le bas 370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3708" name="Flèche vers le bas 370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3709" name="Flèche vers le bas 370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3710" name="Flèche vers le bas 370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3711" name="Flèche vers le bas 371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3712" name="Flèche vers le bas 371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3713" name="Flèche vers le bas 371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3714" name="Flèche vers le bas 371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3715" name="Flèche vers le bas 371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3716" name="Flèche vers le bas 371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3717" name="Flèche vers le bas 371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3718" name="Flèche vers le bas 371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3719" name="Flèche vers le bas 371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3720" name="Flèche vers le bas 371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3721" name="Flèche vers le bas 372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3722" name="Flèche vers le bas 372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3723" name="Flèche vers le bas 372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3724" name="Flèche vers le bas 372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3725" name="Flèche vers le bas 372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3726" name="Flèche vers le bas 372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3727" name="Flèche vers le bas 372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3728" name="Flèche vers le bas 372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3729" name="Flèche vers le bas 372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3730" name="Flèche vers le bas 372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3731" name="Flèche vers le bas 373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3732" name="Flèche vers le bas 373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3733" name="Flèche vers le bas 373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3734" name="Flèche vers le bas 373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3735" name="Flèche vers le bas 373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3736" name="Flèche vers le bas 373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3737" name="Flèche vers le bas 373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3738" name="Flèche vers le bas 373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3739" name="Flèche vers le bas 373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3740" name="Flèche vers le bas 373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3741" name="Flèche vers le bas 374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3742" name="Flèche vers le bas 374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3743" name="Flèche vers le bas 374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3744" name="Flèche vers le bas 374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3745" name="Flèche vers le bas 374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3746" name="Flèche vers le bas 374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3747" name="Flèche vers le bas 374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3748" name="Flèche vers le bas 374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3749" name="Flèche vers le bas 374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3750" name="Flèche vers le bas 374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3751" name="Flèche vers le bas 375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3752" name="Flèche vers le bas 375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3753" name="Flèche vers le bas 375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3754" name="Flèche vers le bas 375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3755" name="Flèche vers le bas 375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3756" name="Flèche vers le bas 375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3757" name="Flèche vers le bas 375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3758" name="Flèche vers le bas 375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3759" name="Flèche vers le bas 375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3760" name="Flèche vers le bas 375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3761" name="Flèche vers le bas 376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3762" name="Flèche vers le bas 376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3763" name="Flèche vers le bas 376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3764" name="Flèche vers le bas 376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3765" name="Flèche vers le bas 376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3766" name="Flèche vers le bas 376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3767" name="Flèche vers le bas 376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3768" name="Flèche vers le bas 376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3769" name="Flèche vers le bas 376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3770" name="Flèche vers le bas 376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3771" name="Flèche vers le bas 377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3772" name="Flèche vers le bas 377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3773" name="Flèche vers le bas 377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3774" name="Flèche vers le bas 377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3775" name="Flèche vers le bas 377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3776" name="Flèche vers le bas 377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3777" name="Flèche vers le bas 377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3778" name="Flèche vers le bas 377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3779" name="Flèche vers le bas 377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3780" name="Flèche vers le bas 377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3781" name="Flèche vers le bas 378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3782" name="Flèche vers le bas 378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3783" name="Flèche vers le bas 378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3784" name="Flèche vers le bas 378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3785" name="Flèche vers le bas 378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3786" name="Flèche vers le bas 378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3787" name="Flèche vers le bas 378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3788" name="Flèche vers le bas 378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3789" name="Flèche vers le bas 378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3790" name="Flèche vers le bas 378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3791" name="Flèche vers le bas 379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3792" name="Flèche vers le bas 379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3793" name="Flèche vers le bas 379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3794" name="Flèche vers le bas 379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3795" name="Flèche vers le bas 379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3796" name="Flèche vers le bas 379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3797" name="Flèche vers le bas 379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3798" name="Flèche vers le bas 379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3799" name="Flèche vers le bas 379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3800" name="Flèche vers le bas 379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3801" name="Flèche vers le bas 380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3802" name="Flèche vers le bas 380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3803" name="Flèche vers le bas 380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3804" name="Flèche vers le bas 380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3805" name="Flèche vers le bas 380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3806" name="Flèche vers le bas 380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3807" name="Flèche vers le bas 3806"/>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3808" name="Flèche vers le bas 3807"/>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3809" name="Flèche vers le bas 3808"/>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3810" name="Flèche vers le bas 3809"/>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3811" name="Flèche vers le bas 3810"/>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3812" name="Flèche vers le bas 3811"/>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3813" name="Flèche vers le bas 3812"/>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3814" name="Flèche vers le bas 3813"/>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3815" name="Flèche vers le bas 3814"/>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3816" name="Flèche vers le bas 3815"/>
        <xdr:cNvSpPr/>
      </xdr:nvSpPr>
      <xdr:spPr>
        <a:xfrm>
          <a:off x="1019737" y="15635408"/>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xdr:row>
      <xdr:rowOff>313765</xdr:rowOff>
    </xdr:from>
    <xdr:to>
      <xdr:col>0</xdr:col>
      <xdr:colOff>1165413</xdr:colOff>
      <xdr:row>10</xdr:row>
      <xdr:rowOff>44824</xdr:rowOff>
    </xdr:to>
    <xdr:sp macro="" textlink="">
      <xdr:nvSpPr>
        <xdr:cNvPr id="3847" name="Flèche vers le bas 384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xdr:row>
      <xdr:rowOff>313765</xdr:rowOff>
    </xdr:from>
    <xdr:to>
      <xdr:col>0</xdr:col>
      <xdr:colOff>1165413</xdr:colOff>
      <xdr:row>10</xdr:row>
      <xdr:rowOff>44824</xdr:rowOff>
    </xdr:to>
    <xdr:sp macro="" textlink="">
      <xdr:nvSpPr>
        <xdr:cNvPr id="3848" name="Flèche vers le bas 384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xdr:row>
      <xdr:rowOff>313765</xdr:rowOff>
    </xdr:from>
    <xdr:to>
      <xdr:col>0</xdr:col>
      <xdr:colOff>1165413</xdr:colOff>
      <xdr:row>10</xdr:row>
      <xdr:rowOff>44824</xdr:rowOff>
    </xdr:to>
    <xdr:sp macro="" textlink="">
      <xdr:nvSpPr>
        <xdr:cNvPr id="3849" name="Flèche vers le bas 384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xdr:row>
      <xdr:rowOff>313765</xdr:rowOff>
    </xdr:from>
    <xdr:to>
      <xdr:col>0</xdr:col>
      <xdr:colOff>1165413</xdr:colOff>
      <xdr:row>10</xdr:row>
      <xdr:rowOff>44824</xdr:rowOff>
    </xdr:to>
    <xdr:sp macro="" textlink="">
      <xdr:nvSpPr>
        <xdr:cNvPr id="3850" name="Flèche vers le bas 384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xdr:row>
      <xdr:rowOff>313765</xdr:rowOff>
    </xdr:from>
    <xdr:to>
      <xdr:col>0</xdr:col>
      <xdr:colOff>1165413</xdr:colOff>
      <xdr:row>10</xdr:row>
      <xdr:rowOff>44824</xdr:rowOff>
    </xdr:to>
    <xdr:sp macro="" textlink="">
      <xdr:nvSpPr>
        <xdr:cNvPr id="3851" name="Flèche vers le bas 385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xdr:row>
      <xdr:rowOff>313765</xdr:rowOff>
    </xdr:from>
    <xdr:to>
      <xdr:col>0</xdr:col>
      <xdr:colOff>1165413</xdr:colOff>
      <xdr:row>10</xdr:row>
      <xdr:rowOff>44824</xdr:rowOff>
    </xdr:to>
    <xdr:sp macro="" textlink="">
      <xdr:nvSpPr>
        <xdr:cNvPr id="3852" name="Flèche vers le bas 385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xdr:row>
      <xdr:rowOff>313765</xdr:rowOff>
    </xdr:from>
    <xdr:to>
      <xdr:col>0</xdr:col>
      <xdr:colOff>1165413</xdr:colOff>
      <xdr:row>10</xdr:row>
      <xdr:rowOff>44824</xdr:rowOff>
    </xdr:to>
    <xdr:sp macro="" textlink="">
      <xdr:nvSpPr>
        <xdr:cNvPr id="3853" name="Flèche vers le bas 385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xdr:row>
      <xdr:rowOff>313765</xdr:rowOff>
    </xdr:from>
    <xdr:to>
      <xdr:col>0</xdr:col>
      <xdr:colOff>1165413</xdr:colOff>
      <xdr:row>10</xdr:row>
      <xdr:rowOff>44824</xdr:rowOff>
    </xdr:to>
    <xdr:sp macro="" textlink="">
      <xdr:nvSpPr>
        <xdr:cNvPr id="3854" name="Flèche vers le bas 385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xdr:row>
      <xdr:rowOff>313765</xdr:rowOff>
    </xdr:from>
    <xdr:to>
      <xdr:col>0</xdr:col>
      <xdr:colOff>1165413</xdr:colOff>
      <xdr:row>10</xdr:row>
      <xdr:rowOff>44824</xdr:rowOff>
    </xdr:to>
    <xdr:sp macro="" textlink="">
      <xdr:nvSpPr>
        <xdr:cNvPr id="3855" name="Flèche vers le bas 385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3856" name="Flèche vers le bas 385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3857" name="Flèche vers le bas 385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3858" name="Flèche vers le bas 385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3859" name="Flèche vers le bas 385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3860" name="Flèche vers le bas 385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3861" name="Flèche vers le bas 386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3862" name="Flèche vers le bas 386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3863" name="Flèche vers le bas 386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3864" name="Flèche vers le bas 386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3865" name="Flèche vers le bas 386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3866" name="Flèche vers le bas 386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3867" name="Flèche vers le bas 386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3868" name="Flèche vers le bas 386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3869" name="Flèche vers le bas 386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3870" name="Flèche vers le bas 386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3871" name="Flèche vers le bas 387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3872" name="Flèche vers le bas 387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3873" name="Flèche vers le bas 387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3874" name="Flèche vers le bas 387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3875" name="Flèche vers le bas 387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3876" name="Flèche vers le bas 387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3877" name="Flèche vers le bas 387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3878" name="Flèche vers le bas 387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3879" name="Flèche vers le bas 387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3880" name="Flèche vers le bas 387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3881" name="Flèche vers le bas 388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3882" name="Flèche vers le bas 388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3883" name="Flèche vers le bas 388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3884" name="Flèche vers le bas 388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3885" name="Flèche vers le bas 388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3886" name="Flèche vers le bas 388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3887" name="Flèche vers le bas 388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3888" name="Flèche vers le bas 388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3889" name="Flèche vers le bas 388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3890" name="Flèche vers le bas 388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3891" name="Flèche vers le bas 389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3892" name="Flèche vers le bas 389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3893" name="Flèche vers le bas 389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3894" name="Flèche vers le bas 389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3895" name="Flèche vers le bas 389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3896" name="Flèche vers le bas 389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3897" name="Flèche vers le bas 389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3898" name="Flèche vers le bas 389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3899" name="Flèche vers le bas 389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3900" name="Flèche vers le bas 389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3901" name="Flèche vers le bas 390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3902" name="Flèche vers le bas 390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3903" name="Flèche vers le bas 390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3904" name="Flèche vers le bas 390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3905" name="Flèche vers le bas 390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3906" name="Flèche vers le bas 390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3907" name="Flèche vers le bas 390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3908" name="Flèche vers le bas 390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3909" name="Flèche vers le bas 390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3910" name="Flèche vers le bas 390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3911" name="Flèche vers le bas 391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3912" name="Flèche vers le bas 391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3913" name="Flèche vers le bas 391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3914" name="Flèche vers le bas 391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3915" name="Flèche vers le bas 391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3916" name="Flèche vers le bas 391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3917" name="Flèche vers le bas 391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3918" name="Flèche vers le bas 391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3919" name="Flèche vers le bas 391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3920" name="Flèche vers le bas 391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3921" name="Flèche vers le bas 392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3922" name="Flèche vers le bas 392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3923" name="Flèche vers le bas 392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3924" name="Flèche vers le bas 392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3925" name="Flèche vers le bas 392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3926" name="Flèche vers le bas 392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3927" name="Flèche vers le bas 392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3928" name="Flèche vers le bas 392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3929" name="Flèche vers le bas 392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3930" name="Flèche vers le bas 392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3931" name="Flèche vers le bas 393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3932" name="Flèche vers le bas 393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3933" name="Flèche vers le bas 393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3934" name="Flèche vers le bas 393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3935" name="Flèche vers le bas 393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3936" name="Flèche vers le bas 393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3937" name="Flèche vers le bas 393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3938" name="Flèche vers le bas 393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3939" name="Flèche vers le bas 393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3940" name="Flèche vers le bas 393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3941" name="Flèche vers le bas 394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3942" name="Flèche vers le bas 394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3943" name="Flèche vers le bas 394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3944" name="Flèche vers le bas 394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3945" name="Flèche vers le bas 394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3946" name="Flèche vers le bas 394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3947" name="Flèche vers le bas 394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3948" name="Flèche vers le bas 394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3949" name="Flèche vers le bas 394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3950" name="Flèche vers le bas 394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3951" name="Flèche vers le bas 395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3952" name="Flèche vers le bas 395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3953" name="Flèche vers le bas 395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3954" name="Flèche vers le bas 395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3955" name="Flèche vers le bas 395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3956" name="Flèche vers le bas 395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3957" name="Flèche vers le bas 395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3958" name="Flèche vers le bas 395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3959" name="Flèche vers le bas 395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3960" name="Flèche vers le bas 395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3961" name="Flèche vers le bas 396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3962" name="Flèche vers le bas 396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3963" name="Flèche vers le bas 396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3964" name="Flèche vers le bas 396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3965" name="Flèche vers le bas 396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3966" name="Flèche vers le bas 396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3967" name="Flèche vers le bas 396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3968" name="Flèche vers le bas 396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3969" name="Flèche vers le bas 396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3970" name="Flèche vers le bas 396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3971" name="Flèche vers le bas 397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3972" name="Flèche vers le bas 397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3973" name="Flèche vers le bas 397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3974" name="Flèche vers le bas 397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3975" name="Flèche vers le bas 397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3976" name="Flèche vers le bas 397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3977" name="Flèche vers le bas 397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3978" name="Flèche vers le bas 397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3979" name="Flèche vers le bas 397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3980" name="Flèche vers le bas 397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3981" name="Flèche vers le bas 398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3982" name="Flèche vers le bas 398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3983" name="Flèche vers le bas 398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3984" name="Flèche vers le bas 398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3985" name="Flèche vers le bas 398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3986" name="Flèche vers le bas 398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3987" name="Flèche vers le bas 398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3988" name="Flèche vers le bas 398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3989" name="Flèche vers le bas 398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3990" name="Flèche vers le bas 398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3991" name="Flèche vers le bas 399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3992" name="Flèche vers le bas 399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3993" name="Flèche vers le bas 399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3994" name="Flèche vers le bas 399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3995" name="Flèche vers le bas 399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3996" name="Flèche vers le bas 399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3997" name="Flèche vers le bas 399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3998" name="Flèche vers le bas 399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3999" name="Flèche vers le bas 399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4000" name="Flèche vers le bas 399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4001" name="Flèche vers le bas 400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4002" name="Flèche vers le bas 400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4003" name="Flèche vers le bas 400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4004" name="Flèche vers le bas 400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4005" name="Flèche vers le bas 400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4006" name="Flèche vers le bas 400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4007" name="Flèche vers le bas 400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4008" name="Flèche vers le bas 400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4009" name="Flèche vers le bas 400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4010" name="Flèche vers le bas 400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4011" name="Flèche vers le bas 401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4012" name="Flèche vers le bas 401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4013" name="Flèche vers le bas 401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4014" name="Flèche vers le bas 401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4015" name="Flèche vers le bas 401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4016" name="Flèche vers le bas 401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4017" name="Flèche vers le bas 401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4018" name="Flèche vers le bas 401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4019" name="Flèche vers le bas 401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4020" name="Flèche vers le bas 401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4021" name="Flèche vers le bas 402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4022" name="Flèche vers le bas 402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4023" name="Flèche vers le bas 402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4024" name="Flèche vers le bas 402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4025" name="Flèche vers le bas 402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4026" name="Flèche vers le bas 402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4027" name="Flèche vers le bas 402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4028" name="Flèche vers le bas 402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4029" name="Flèche vers le bas 402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4030" name="Flèche vers le bas 402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4031" name="Flèche vers le bas 403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4032" name="Flèche vers le bas 403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4033" name="Flèche vers le bas 403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4034" name="Flèche vers le bas 403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4035" name="Flèche vers le bas 403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4036" name="Flèche vers le bas 403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4037" name="Flèche vers le bas 403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4038" name="Flèche vers le bas 403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4039" name="Flèche vers le bas 403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4040" name="Flèche vers le bas 403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4041" name="Flèche vers le bas 404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4042" name="Flèche vers le bas 404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4043" name="Flèche vers le bas 404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4044" name="Flèche vers le bas 404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4045" name="Flèche vers le bas 404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4046" name="Flèche vers le bas 404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4047" name="Flèche vers le bas 404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4048" name="Flèche vers le bas 404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4049" name="Flèche vers le bas 404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4050" name="Flèche vers le bas 404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4051" name="Flèche vers le bas 405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4052" name="Flèche vers le bas 405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4053" name="Flèche vers le bas 405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4054" name="Flèche vers le bas 405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4055" name="Flèche vers le bas 405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4056" name="Flèche vers le bas 405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4057" name="Flèche vers le bas 405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4058" name="Flèche vers le bas 405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4059" name="Flèche vers le bas 405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4060" name="Flèche vers le bas 405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4061" name="Flèche vers le bas 406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4062" name="Flèche vers le bas 406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4063" name="Flèche vers le bas 406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4064" name="Flèche vers le bas 406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4065" name="Flèche vers le bas 406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4066" name="Flèche vers le bas 406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4067" name="Flèche vers le bas 406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4068" name="Flèche vers le bas 406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4069" name="Flèche vers le bas 406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4070" name="Flèche vers le bas 406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4071" name="Flèche vers le bas 407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4072" name="Flèche vers le bas 407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4073" name="Flèche vers le bas 407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4074" name="Flèche vers le bas 407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4075" name="Flèche vers le bas 407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4076" name="Flèche vers le bas 407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4077" name="Flèche vers le bas 407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4078" name="Flèche vers le bas 407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4079" name="Flèche vers le bas 407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4080" name="Flèche vers le bas 407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4081" name="Flèche vers le bas 408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4082" name="Flèche vers le bas 408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4083" name="Flèche vers le bas 408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4084" name="Flèche vers le bas 408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4085" name="Flèche vers le bas 408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4086" name="Flèche vers le bas 408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4087" name="Flèche vers le bas 408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4088" name="Flèche vers le bas 408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4089" name="Flèche vers le bas 408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4090" name="Flèche vers le bas 408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4091" name="Flèche vers le bas 409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4092" name="Flèche vers le bas 409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4093" name="Flèche vers le bas 409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4094" name="Flèche vers le bas 409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4095" name="Flèche vers le bas 409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4096" name="Flèche vers le bas 409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4097" name="Flèche vers le bas 409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4098" name="Flèche vers le bas 409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4099" name="Flèche vers le bas 409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4100" name="Flèche vers le bas 409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4101" name="Flèche vers le bas 410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4102" name="Flèche vers le bas 410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4103" name="Flèche vers le bas 410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4104" name="Flèche vers le bas 410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4105" name="Flèche vers le bas 410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4106" name="Flèche vers le bas 410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4107" name="Flèche vers le bas 410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38</xdr:row>
      <xdr:rowOff>313765</xdr:rowOff>
    </xdr:from>
    <xdr:to>
      <xdr:col>0</xdr:col>
      <xdr:colOff>1165413</xdr:colOff>
      <xdr:row>39</xdr:row>
      <xdr:rowOff>44824</xdr:rowOff>
    </xdr:to>
    <xdr:sp macro="" textlink="">
      <xdr:nvSpPr>
        <xdr:cNvPr id="4108" name="Flèche vers le bas 410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38</xdr:row>
      <xdr:rowOff>313765</xdr:rowOff>
    </xdr:from>
    <xdr:to>
      <xdr:col>0</xdr:col>
      <xdr:colOff>1165413</xdr:colOff>
      <xdr:row>39</xdr:row>
      <xdr:rowOff>44824</xdr:rowOff>
    </xdr:to>
    <xdr:sp macro="" textlink="">
      <xdr:nvSpPr>
        <xdr:cNvPr id="4109" name="Flèche vers le bas 410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38</xdr:row>
      <xdr:rowOff>313765</xdr:rowOff>
    </xdr:from>
    <xdr:to>
      <xdr:col>0</xdr:col>
      <xdr:colOff>1165413</xdr:colOff>
      <xdr:row>39</xdr:row>
      <xdr:rowOff>44824</xdr:rowOff>
    </xdr:to>
    <xdr:sp macro="" textlink="">
      <xdr:nvSpPr>
        <xdr:cNvPr id="4110" name="Flèche vers le bas 410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38</xdr:row>
      <xdr:rowOff>313765</xdr:rowOff>
    </xdr:from>
    <xdr:to>
      <xdr:col>0</xdr:col>
      <xdr:colOff>1165413</xdr:colOff>
      <xdr:row>39</xdr:row>
      <xdr:rowOff>44824</xdr:rowOff>
    </xdr:to>
    <xdr:sp macro="" textlink="">
      <xdr:nvSpPr>
        <xdr:cNvPr id="4111" name="Flèche vers le bas 411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38</xdr:row>
      <xdr:rowOff>313765</xdr:rowOff>
    </xdr:from>
    <xdr:to>
      <xdr:col>0</xdr:col>
      <xdr:colOff>1165413</xdr:colOff>
      <xdr:row>39</xdr:row>
      <xdr:rowOff>44824</xdr:rowOff>
    </xdr:to>
    <xdr:sp macro="" textlink="">
      <xdr:nvSpPr>
        <xdr:cNvPr id="4112" name="Flèche vers le bas 411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38</xdr:row>
      <xdr:rowOff>313765</xdr:rowOff>
    </xdr:from>
    <xdr:to>
      <xdr:col>0</xdr:col>
      <xdr:colOff>1165413</xdr:colOff>
      <xdr:row>39</xdr:row>
      <xdr:rowOff>44824</xdr:rowOff>
    </xdr:to>
    <xdr:sp macro="" textlink="">
      <xdr:nvSpPr>
        <xdr:cNvPr id="4113" name="Flèche vers le bas 411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38</xdr:row>
      <xdr:rowOff>313765</xdr:rowOff>
    </xdr:from>
    <xdr:to>
      <xdr:col>0</xdr:col>
      <xdr:colOff>1165413</xdr:colOff>
      <xdr:row>39</xdr:row>
      <xdr:rowOff>44824</xdr:rowOff>
    </xdr:to>
    <xdr:sp macro="" textlink="">
      <xdr:nvSpPr>
        <xdr:cNvPr id="4114" name="Flèche vers le bas 411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38</xdr:row>
      <xdr:rowOff>313765</xdr:rowOff>
    </xdr:from>
    <xdr:to>
      <xdr:col>0</xdr:col>
      <xdr:colOff>1165413</xdr:colOff>
      <xdr:row>39</xdr:row>
      <xdr:rowOff>44824</xdr:rowOff>
    </xdr:to>
    <xdr:sp macro="" textlink="">
      <xdr:nvSpPr>
        <xdr:cNvPr id="4115" name="Flèche vers le bas 411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38</xdr:row>
      <xdr:rowOff>313765</xdr:rowOff>
    </xdr:from>
    <xdr:to>
      <xdr:col>0</xdr:col>
      <xdr:colOff>1165413</xdr:colOff>
      <xdr:row>39</xdr:row>
      <xdr:rowOff>44824</xdr:rowOff>
    </xdr:to>
    <xdr:sp macro="" textlink="">
      <xdr:nvSpPr>
        <xdr:cNvPr id="4116" name="Flèche vers le bas 411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39</xdr:row>
      <xdr:rowOff>313765</xdr:rowOff>
    </xdr:from>
    <xdr:to>
      <xdr:col>0</xdr:col>
      <xdr:colOff>1165413</xdr:colOff>
      <xdr:row>40</xdr:row>
      <xdr:rowOff>44824</xdr:rowOff>
    </xdr:to>
    <xdr:sp macro="" textlink="">
      <xdr:nvSpPr>
        <xdr:cNvPr id="4117" name="Flèche vers le bas 411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39</xdr:row>
      <xdr:rowOff>313765</xdr:rowOff>
    </xdr:from>
    <xdr:to>
      <xdr:col>0</xdr:col>
      <xdr:colOff>1165413</xdr:colOff>
      <xdr:row>40</xdr:row>
      <xdr:rowOff>44824</xdr:rowOff>
    </xdr:to>
    <xdr:sp macro="" textlink="">
      <xdr:nvSpPr>
        <xdr:cNvPr id="4118" name="Flèche vers le bas 411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39</xdr:row>
      <xdr:rowOff>313765</xdr:rowOff>
    </xdr:from>
    <xdr:to>
      <xdr:col>0</xdr:col>
      <xdr:colOff>1165413</xdr:colOff>
      <xdr:row>40</xdr:row>
      <xdr:rowOff>44824</xdr:rowOff>
    </xdr:to>
    <xdr:sp macro="" textlink="">
      <xdr:nvSpPr>
        <xdr:cNvPr id="4119" name="Flèche vers le bas 411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39</xdr:row>
      <xdr:rowOff>313765</xdr:rowOff>
    </xdr:from>
    <xdr:to>
      <xdr:col>0</xdr:col>
      <xdr:colOff>1165413</xdr:colOff>
      <xdr:row>40</xdr:row>
      <xdr:rowOff>44824</xdr:rowOff>
    </xdr:to>
    <xdr:sp macro="" textlink="">
      <xdr:nvSpPr>
        <xdr:cNvPr id="4120" name="Flèche vers le bas 411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39</xdr:row>
      <xdr:rowOff>313765</xdr:rowOff>
    </xdr:from>
    <xdr:to>
      <xdr:col>0</xdr:col>
      <xdr:colOff>1165413</xdr:colOff>
      <xdr:row>40</xdr:row>
      <xdr:rowOff>44824</xdr:rowOff>
    </xdr:to>
    <xdr:sp macro="" textlink="">
      <xdr:nvSpPr>
        <xdr:cNvPr id="4121" name="Flèche vers le bas 412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39</xdr:row>
      <xdr:rowOff>313765</xdr:rowOff>
    </xdr:from>
    <xdr:to>
      <xdr:col>0</xdr:col>
      <xdr:colOff>1165413</xdr:colOff>
      <xdr:row>40</xdr:row>
      <xdr:rowOff>44824</xdr:rowOff>
    </xdr:to>
    <xdr:sp macro="" textlink="">
      <xdr:nvSpPr>
        <xdr:cNvPr id="4122" name="Flèche vers le bas 412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39</xdr:row>
      <xdr:rowOff>313765</xdr:rowOff>
    </xdr:from>
    <xdr:to>
      <xdr:col>0</xdr:col>
      <xdr:colOff>1165413</xdr:colOff>
      <xdr:row>40</xdr:row>
      <xdr:rowOff>44824</xdr:rowOff>
    </xdr:to>
    <xdr:sp macro="" textlink="">
      <xdr:nvSpPr>
        <xdr:cNvPr id="4123" name="Flèche vers le bas 412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39</xdr:row>
      <xdr:rowOff>313765</xdr:rowOff>
    </xdr:from>
    <xdr:to>
      <xdr:col>0</xdr:col>
      <xdr:colOff>1165413</xdr:colOff>
      <xdr:row>40</xdr:row>
      <xdr:rowOff>44824</xdr:rowOff>
    </xdr:to>
    <xdr:sp macro="" textlink="">
      <xdr:nvSpPr>
        <xdr:cNvPr id="4124" name="Flèche vers le bas 412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39</xdr:row>
      <xdr:rowOff>313765</xdr:rowOff>
    </xdr:from>
    <xdr:to>
      <xdr:col>0</xdr:col>
      <xdr:colOff>1165413</xdr:colOff>
      <xdr:row>40</xdr:row>
      <xdr:rowOff>44824</xdr:rowOff>
    </xdr:to>
    <xdr:sp macro="" textlink="">
      <xdr:nvSpPr>
        <xdr:cNvPr id="4125" name="Flèche vers le bas 412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40</xdr:row>
      <xdr:rowOff>313765</xdr:rowOff>
    </xdr:from>
    <xdr:to>
      <xdr:col>0</xdr:col>
      <xdr:colOff>1165413</xdr:colOff>
      <xdr:row>41</xdr:row>
      <xdr:rowOff>44824</xdr:rowOff>
    </xdr:to>
    <xdr:sp macro="" textlink="">
      <xdr:nvSpPr>
        <xdr:cNvPr id="4126" name="Flèche vers le bas 412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40</xdr:row>
      <xdr:rowOff>313765</xdr:rowOff>
    </xdr:from>
    <xdr:to>
      <xdr:col>0</xdr:col>
      <xdr:colOff>1165413</xdr:colOff>
      <xdr:row>41</xdr:row>
      <xdr:rowOff>44824</xdr:rowOff>
    </xdr:to>
    <xdr:sp macro="" textlink="">
      <xdr:nvSpPr>
        <xdr:cNvPr id="4127" name="Flèche vers le bas 412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40</xdr:row>
      <xdr:rowOff>313765</xdr:rowOff>
    </xdr:from>
    <xdr:to>
      <xdr:col>0</xdr:col>
      <xdr:colOff>1165413</xdr:colOff>
      <xdr:row>41</xdr:row>
      <xdr:rowOff>44824</xdr:rowOff>
    </xdr:to>
    <xdr:sp macro="" textlink="">
      <xdr:nvSpPr>
        <xdr:cNvPr id="4128" name="Flèche vers le bas 412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40</xdr:row>
      <xdr:rowOff>313765</xdr:rowOff>
    </xdr:from>
    <xdr:to>
      <xdr:col>0</xdr:col>
      <xdr:colOff>1165413</xdr:colOff>
      <xdr:row>41</xdr:row>
      <xdr:rowOff>44824</xdr:rowOff>
    </xdr:to>
    <xdr:sp macro="" textlink="">
      <xdr:nvSpPr>
        <xdr:cNvPr id="4129" name="Flèche vers le bas 412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40</xdr:row>
      <xdr:rowOff>313765</xdr:rowOff>
    </xdr:from>
    <xdr:to>
      <xdr:col>0</xdr:col>
      <xdr:colOff>1165413</xdr:colOff>
      <xdr:row>41</xdr:row>
      <xdr:rowOff>44824</xdr:rowOff>
    </xdr:to>
    <xdr:sp macro="" textlink="">
      <xdr:nvSpPr>
        <xdr:cNvPr id="4130" name="Flèche vers le bas 412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40</xdr:row>
      <xdr:rowOff>313765</xdr:rowOff>
    </xdr:from>
    <xdr:to>
      <xdr:col>0</xdr:col>
      <xdr:colOff>1165413</xdr:colOff>
      <xdr:row>41</xdr:row>
      <xdr:rowOff>44824</xdr:rowOff>
    </xdr:to>
    <xdr:sp macro="" textlink="">
      <xdr:nvSpPr>
        <xdr:cNvPr id="4131" name="Flèche vers le bas 413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40</xdr:row>
      <xdr:rowOff>313765</xdr:rowOff>
    </xdr:from>
    <xdr:to>
      <xdr:col>0</xdr:col>
      <xdr:colOff>1165413</xdr:colOff>
      <xdr:row>41</xdr:row>
      <xdr:rowOff>44824</xdr:rowOff>
    </xdr:to>
    <xdr:sp macro="" textlink="">
      <xdr:nvSpPr>
        <xdr:cNvPr id="4132" name="Flèche vers le bas 413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40</xdr:row>
      <xdr:rowOff>313765</xdr:rowOff>
    </xdr:from>
    <xdr:to>
      <xdr:col>0</xdr:col>
      <xdr:colOff>1165413</xdr:colOff>
      <xdr:row>41</xdr:row>
      <xdr:rowOff>44824</xdr:rowOff>
    </xdr:to>
    <xdr:sp macro="" textlink="">
      <xdr:nvSpPr>
        <xdr:cNvPr id="4133" name="Flèche vers le bas 413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40</xdr:row>
      <xdr:rowOff>313765</xdr:rowOff>
    </xdr:from>
    <xdr:to>
      <xdr:col>0</xdr:col>
      <xdr:colOff>1165413</xdr:colOff>
      <xdr:row>41</xdr:row>
      <xdr:rowOff>44824</xdr:rowOff>
    </xdr:to>
    <xdr:sp macro="" textlink="">
      <xdr:nvSpPr>
        <xdr:cNvPr id="4134" name="Flèche vers le bas 413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41</xdr:row>
      <xdr:rowOff>313765</xdr:rowOff>
    </xdr:from>
    <xdr:to>
      <xdr:col>0</xdr:col>
      <xdr:colOff>1165413</xdr:colOff>
      <xdr:row>42</xdr:row>
      <xdr:rowOff>44824</xdr:rowOff>
    </xdr:to>
    <xdr:sp macro="" textlink="">
      <xdr:nvSpPr>
        <xdr:cNvPr id="4135" name="Flèche vers le bas 413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41</xdr:row>
      <xdr:rowOff>313765</xdr:rowOff>
    </xdr:from>
    <xdr:to>
      <xdr:col>0</xdr:col>
      <xdr:colOff>1165413</xdr:colOff>
      <xdr:row>42</xdr:row>
      <xdr:rowOff>44824</xdr:rowOff>
    </xdr:to>
    <xdr:sp macro="" textlink="">
      <xdr:nvSpPr>
        <xdr:cNvPr id="4136" name="Flèche vers le bas 413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41</xdr:row>
      <xdr:rowOff>313765</xdr:rowOff>
    </xdr:from>
    <xdr:to>
      <xdr:col>0</xdr:col>
      <xdr:colOff>1165413</xdr:colOff>
      <xdr:row>42</xdr:row>
      <xdr:rowOff>44824</xdr:rowOff>
    </xdr:to>
    <xdr:sp macro="" textlink="">
      <xdr:nvSpPr>
        <xdr:cNvPr id="4137" name="Flèche vers le bas 413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41</xdr:row>
      <xdr:rowOff>313765</xdr:rowOff>
    </xdr:from>
    <xdr:to>
      <xdr:col>0</xdr:col>
      <xdr:colOff>1165413</xdr:colOff>
      <xdr:row>42</xdr:row>
      <xdr:rowOff>44824</xdr:rowOff>
    </xdr:to>
    <xdr:sp macro="" textlink="">
      <xdr:nvSpPr>
        <xdr:cNvPr id="4138" name="Flèche vers le bas 413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41</xdr:row>
      <xdr:rowOff>313765</xdr:rowOff>
    </xdr:from>
    <xdr:to>
      <xdr:col>0</xdr:col>
      <xdr:colOff>1165413</xdr:colOff>
      <xdr:row>42</xdr:row>
      <xdr:rowOff>44824</xdr:rowOff>
    </xdr:to>
    <xdr:sp macro="" textlink="">
      <xdr:nvSpPr>
        <xdr:cNvPr id="4139" name="Flèche vers le bas 413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41</xdr:row>
      <xdr:rowOff>313765</xdr:rowOff>
    </xdr:from>
    <xdr:to>
      <xdr:col>0</xdr:col>
      <xdr:colOff>1165413</xdr:colOff>
      <xdr:row>42</xdr:row>
      <xdr:rowOff>44824</xdr:rowOff>
    </xdr:to>
    <xdr:sp macro="" textlink="">
      <xdr:nvSpPr>
        <xdr:cNvPr id="4140" name="Flèche vers le bas 413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41</xdr:row>
      <xdr:rowOff>313765</xdr:rowOff>
    </xdr:from>
    <xdr:to>
      <xdr:col>0</xdr:col>
      <xdr:colOff>1165413</xdr:colOff>
      <xdr:row>42</xdr:row>
      <xdr:rowOff>44824</xdr:rowOff>
    </xdr:to>
    <xdr:sp macro="" textlink="">
      <xdr:nvSpPr>
        <xdr:cNvPr id="4141" name="Flèche vers le bas 414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41</xdr:row>
      <xdr:rowOff>313765</xdr:rowOff>
    </xdr:from>
    <xdr:to>
      <xdr:col>0</xdr:col>
      <xdr:colOff>1165413</xdr:colOff>
      <xdr:row>42</xdr:row>
      <xdr:rowOff>44824</xdr:rowOff>
    </xdr:to>
    <xdr:sp macro="" textlink="">
      <xdr:nvSpPr>
        <xdr:cNvPr id="4142" name="Flèche vers le bas 414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41</xdr:row>
      <xdr:rowOff>313765</xdr:rowOff>
    </xdr:from>
    <xdr:to>
      <xdr:col>0</xdr:col>
      <xdr:colOff>1165413</xdr:colOff>
      <xdr:row>42</xdr:row>
      <xdr:rowOff>44824</xdr:rowOff>
    </xdr:to>
    <xdr:sp macro="" textlink="">
      <xdr:nvSpPr>
        <xdr:cNvPr id="4143" name="Flèche vers le bas 414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42</xdr:row>
      <xdr:rowOff>313765</xdr:rowOff>
    </xdr:from>
    <xdr:to>
      <xdr:col>0</xdr:col>
      <xdr:colOff>1165413</xdr:colOff>
      <xdr:row>43</xdr:row>
      <xdr:rowOff>44824</xdr:rowOff>
    </xdr:to>
    <xdr:sp macro="" textlink="">
      <xdr:nvSpPr>
        <xdr:cNvPr id="4144" name="Flèche vers le bas 414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42</xdr:row>
      <xdr:rowOff>313765</xdr:rowOff>
    </xdr:from>
    <xdr:to>
      <xdr:col>0</xdr:col>
      <xdr:colOff>1165413</xdr:colOff>
      <xdr:row>43</xdr:row>
      <xdr:rowOff>44824</xdr:rowOff>
    </xdr:to>
    <xdr:sp macro="" textlink="">
      <xdr:nvSpPr>
        <xdr:cNvPr id="4145" name="Flèche vers le bas 414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42</xdr:row>
      <xdr:rowOff>313765</xdr:rowOff>
    </xdr:from>
    <xdr:to>
      <xdr:col>0</xdr:col>
      <xdr:colOff>1165413</xdr:colOff>
      <xdr:row>43</xdr:row>
      <xdr:rowOff>44824</xdr:rowOff>
    </xdr:to>
    <xdr:sp macro="" textlink="">
      <xdr:nvSpPr>
        <xdr:cNvPr id="4146" name="Flèche vers le bas 414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42</xdr:row>
      <xdr:rowOff>313765</xdr:rowOff>
    </xdr:from>
    <xdr:to>
      <xdr:col>0</xdr:col>
      <xdr:colOff>1165413</xdr:colOff>
      <xdr:row>43</xdr:row>
      <xdr:rowOff>44824</xdr:rowOff>
    </xdr:to>
    <xdr:sp macro="" textlink="">
      <xdr:nvSpPr>
        <xdr:cNvPr id="4147" name="Flèche vers le bas 414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42</xdr:row>
      <xdr:rowOff>313765</xdr:rowOff>
    </xdr:from>
    <xdr:to>
      <xdr:col>0</xdr:col>
      <xdr:colOff>1165413</xdr:colOff>
      <xdr:row>43</xdr:row>
      <xdr:rowOff>44824</xdr:rowOff>
    </xdr:to>
    <xdr:sp macro="" textlink="">
      <xdr:nvSpPr>
        <xdr:cNvPr id="4148" name="Flèche vers le bas 414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42</xdr:row>
      <xdr:rowOff>313765</xdr:rowOff>
    </xdr:from>
    <xdr:to>
      <xdr:col>0</xdr:col>
      <xdr:colOff>1165413</xdr:colOff>
      <xdr:row>43</xdr:row>
      <xdr:rowOff>44824</xdr:rowOff>
    </xdr:to>
    <xdr:sp macro="" textlink="">
      <xdr:nvSpPr>
        <xdr:cNvPr id="4149" name="Flèche vers le bas 414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42</xdr:row>
      <xdr:rowOff>313765</xdr:rowOff>
    </xdr:from>
    <xdr:to>
      <xdr:col>0</xdr:col>
      <xdr:colOff>1165413</xdr:colOff>
      <xdr:row>43</xdr:row>
      <xdr:rowOff>44824</xdr:rowOff>
    </xdr:to>
    <xdr:sp macro="" textlink="">
      <xdr:nvSpPr>
        <xdr:cNvPr id="4150" name="Flèche vers le bas 414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42</xdr:row>
      <xdr:rowOff>313765</xdr:rowOff>
    </xdr:from>
    <xdr:to>
      <xdr:col>0</xdr:col>
      <xdr:colOff>1165413</xdr:colOff>
      <xdr:row>43</xdr:row>
      <xdr:rowOff>44824</xdr:rowOff>
    </xdr:to>
    <xdr:sp macro="" textlink="">
      <xdr:nvSpPr>
        <xdr:cNvPr id="4151" name="Flèche vers le bas 415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42</xdr:row>
      <xdr:rowOff>313765</xdr:rowOff>
    </xdr:from>
    <xdr:to>
      <xdr:col>0</xdr:col>
      <xdr:colOff>1165413</xdr:colOff>
      <xdr:row>43</xdr:row>
      <xdr:rowOff>44824</xdr:rowOff>
    </xdr:to>
    <xdr:sp macro="" textlink="">
      <xdr:nvSpPr>
        <xdr:cNvPr id="4152" name="Flèche vers le bas 415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43</xdr:row>
      <xdr:rowOff>313765</xdr:rowOff>
    </xdr:from>
    <xdr:to>
      <xdr:col>0</xdr:col>
      <xdr:colOff>1165413</xdr:colOff>
      <xdr:row>44</xdr:row>
      <xdr:rowOff>44824</xdr:rowOff>
    </xdr:to>
    <xdr:sp macro="" textlink="">
      <xdr:nvSpPr>
        <xdr:cNvPr id="4153" name="Flèche vers le bas 415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43</xdr:row>
      <xdr:rowOff>313765</xdr:rowOff>
    </xdr:from>
    <xdr:to>
      <xdr:col>0</xdr:col>
      <xdr:colOff>1165413</xdr:colOff>
      <xdr:row>44</xdr:row>
      <xdr:rowOff>44824</xdr:rowOff>
    </xdr:to>
    <xdr:sp macro="" textlink="">
      <xdr:nvSpPr>
        <xdr:cNvPr id="4154" name="Flèche vers le bas 415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43</xdr:row>
      <xdr:rowOff>313765</xdr:rowOff>
    </xdr:from>
    <xdr:to>
      <xdr:col>0</xdr:col>
      <xdr:colOff>1165413</xdr:colOff>
      <xdr:row>44</xdr:row>
      <xdr:rowOff>44824</xdr:rowOff>
    </xdr:to>
    <xdr:sp macro="" textlink="">
      <xdr:nvSpPr>
        <xdr:cNvPr id="4155" name="Flèche vers le bas 415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43</xdr:row>
      <xdr:rowOff>313765</xdr:rowOff>
    </xdr:from>
    <xdr:to>
      <xdr:col>0</xdr:col>
      <xdr:colOff>1165413</xdr:colOff>
      <xdr:row>44</xdr:row>
      <xdr:rowOff>44824</xdr:rowOff>
    </xdr:to>
    <xdr:sp macro="" textlink="">
      <xdr:nvSpPr>
        <xdr:cNvPr id="4156" name="Flèche vers le bas 415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43</xdr:row>
      <xdr:rowOff>313765</xdr:rowOff>
    </xdr:from>
    <xdr:to>
      <xdr:col>0</xdr:col>
      <xdr:colOff>1165413</xdr:colOff>
      <xdr:row>44</xdr:row>
      <xdr:rowOff>44824</xdr:rowOff>
    </xdr:to>
    <xdr:sp macro="" textlink="">
      <xdr:nvSpPr>
        <xdr:cNvPr id="4157" name="Flèche vers le bas 415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43</xdr:row>
      <xdr:rowOff>313765</xdr:rowOff>
    </xdr:from>
    <xdr:to>
      <xdr:col>0</xdr:col>
      <xdr:colOff>1165413</xdr:colOff>
      <xdr:row>44</xdr:row>
      <xdr:rowOff>44824</xdr:rowOff>
    </xdr:to>
    <xdr:sp macro="" textlink="">
      <xdr:nvSpPr>
        <xdr:cNvPr id="4158" name="Flèche vers le bas 415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43</xdr:row>
      <xdr:rowOff>313765</xdr:rowOff>
    </xdr:from>
    <xdr:to>
      <xdr:col>0</xdr:col>
      <xdr:colOff>1165413</xdr:colOff>
      <xdr:row>44</xdr:row>
      <xdr:rowOff>44824</xdr:rowOff>
    </xdr:to>
    <xdr:sp macro="" textlink="">
      <xdr:nvSpPr>
        <xdr:cNvPr id="4159" name="Flèche vers le bas 415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43</xdr:row>
      <xdr:rowOff>313765</xdr:rowOff>
    </xdr:from>
    <xdr:to>
      <xdr:col>0</xdr:col>
      <xdr:colOff>1165413</xdr:colOff>
      <xdr:row>44</xdr:row>
      <xdr:rowOff>44824</xdr:rowOff>
    </xdr:to>
    <xdr:sp macro="" textlink="">
      <xdr:nvSpPr>
        <xdr:cNvPr id="4160" name="Flèche vers le bas 415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43</xdr:row>
      <xdr:rowOff>313765</xdr:rowOff>
    </xdr:from>
    <xdr:to>
      <xdr:col>0</xdr:col>
      <xdr:colOff>1165413</xdr:colOff>
      <xdr:row>44</xdr:row>
      <xdr:rowOff>44824</xdr:rowOff>
    </xdr:to>
    <xdr:sp macro="" textlink="">
      <xdr:nvSpPr>
        <xdr:cNvPr id="4161" name="Flèche vers le bas 416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44</xdr:row>
      <xdr:rowOff>313765</xdr:rowOff>
    </xdr:from>
    <xdr:to>
      <xdr:col>0</xdr:col>
      <xdr:colOff>1165413</xdr:colOff>
      <xdr:row>45</xdr:row>
      <xdr:rowOff>44824</xdr:rowOff>
    </xdr:to>
    <xdr:sp macro="" textlink="">
      <xdr:nvSpPr>
        <xdr:cNvPr id="4162" name="Flèche vers le bas 416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44</xdr:row>
      <xdr:rowOff>313765</xdr:rowOff>
    </xdr:from>
    <xdr:to>
      <xdr:col>0</xdr:col>
      <xdr:colOff>1165413</xdr:colOff>
      <xdr:row>45</xdr:row>
      <xdr:rowOff>44824</xdr:rowOff>
    </xdr:to>
    <xdr:sp macro="" textlink="">
      <xdr:nvSpPr>
        <xdr:cNvPr id="4163" name="Flèche vers le bas 416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44</xdr:row>
      <xdr:rowOff>313765</xdr:rowOff>
    </xdr:from>
    <xdr:to>
      <xdr:col>0</xdr:col>
      <xdr:colOff>1165413</xdr:colOff>
      <xdr:row>45</xdr:row>
      <xdr:rowOff>44824</xdr:rowOff>
    </xdr:to>
    <xdr:sp macro="" textlink="">
      <xdr:nvSpPr>
        <xdr:cNvPr id="4164" name="Flèche vers le bas 416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44</xdr:row>
      <xdr:rowOff>313765</xdr:rowOff>
    </xdr:from>
    <xdr:to>
      <xdr:col>0</xdr:col>
      <xdr:colOff>1165413</xdr:colOff>
      <xdr:row>45</xdr:row>
      <xdr:rowOff>44824</xdr:rowOff>
    </xdr:to>
    <xdr:sp macro="" textlink="">
      <xdr:nvSpPr>
        <xdr:cNvPr id="4165" name="Flèche vers le bas 416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44</xdr:row>
      <xdr:rowOff>313765</xdr:rowOff>
    </xdr:from>
    <xdr:to>
      <xdr:col>0</xdr:col>
      <xdr:colOff>1165413</xdr:colOff>
      <xdr:row>45</xdr:row>
      <xdr:rowOff>44824</xdr:rowOff>
    </xdr:to>
    <xdr:sp macro="" textlink="">
      <xdr:nvSpPr>
        <xdr:cNvPr id="4166" name="Flèche vers le bas 416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44</xdr:row>
      <xdr:rowOff>313765</xdr:rowOff>
    </xdr:from>
    <xdr:to>
      <xdr:col>0</xdr:col>
      <xdr:colOff>1165413</xdr:colOff>
      <xdr:row>45</xdr:row>
      <xdr:rowOff>44824</xdr:rowOff>
    </xdr:to>
    <xdr:sp macro="" textlink="">
      <xdr:nvSpPr>
        <xdr:cNvPr id="4167" name="Flèche vers le bas 416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44</xdr:row>
      <xdr:rowOff>313765</xdr:rowOff>
    </xdr:from>
    <xdr:to>
      <xdr:col>0</xdr:col>
      <xdr:colOff>1165413</xdr:colOff>
      <xdr:row>45</xdr:row>
      <xdr:rowOff>44824</xdr:rowOff>
    </xdr:to>
    <xdr:sp macro="" textlink="">
      <xdr:nvSpPr>
        <xdr:cNvPr id="4168" name="Flèche vers le bas 416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44</xdr:row>
      <xdr:rowOff>313765</xdr:rowOff>
    </xdr:from>
    <xdr:to>
      <xdr:col>0</xdr:col>
      <xdr:colOff>1165413</xdr:colOff>
      <xdr:row>45</xdr:row>
      <xdr:rowOff>44824</xdr:rowOff>
    </xdr:to>
    <xdr:sp macro="" textlink="">
      <xdr:nvSpPr>
        <xdr:cNvPr id="4169" name="Flèche vers le bas 416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44</xdr:row>
      <xdr:rowOff>313765</xdr:rowOff>
    </xdr:from>
    <xdr:to>
      <xdr:col>0</xdr:col>
      <xdr:colOff>1165413</xdr:colOff>
      <xdr:row>45</xdr:row>
      <xdr:rowOff>44824</xdr:rowOff>
    </xdr:to>
    <xdr:sp macro="" textlink="">
      <xdr:nvSpPr>
        <xdr:cNvPr id="4170" name="Flèche vers le bas 416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45</xdr:row>
      <xdr:rowOff>313765</xdr:rowOff>
    </xdr:from>
    <xdr:to>
      <xdr:col>0</xdr:col>
      <xdr:colOff>1165413</xdr:colOff>
      <xdr:row>46</xdr:row>
      <xdr:rowOff>44824</xdr:rowOff>
    </xdr:to>
    <xdr:sp macro="" textlink="">
      <xdr:nvSpPr>
        <xdr:cNvPr id="4171" name="Flèche vers le bas 417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45</xdr:row>
      <xdr:rowOff>313765</xdr:rowOff>
    </xdr:from>
    <xdr:to>
      <xdr:col>0</xdr:col>
      <xdr:colOff>1165413</xdr:colOff>
      <xdr:row>46</xdr:row>
      <xdr:rowOff>44824</xdr:rowOff>
    </xdr:to>
    <xdr:sp macro="" textlink="">
      <xdr:nvSpPr>
        <xdr:cNvPr id="4172" name="Flèche vers le bas 417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45</xdr:row>
      <xdr:rowOff>313765</xdr:rowOff>
    </xdr:from>
    <xdr:to>
      <xdr:col>0</xdr:col>
      <xdr:colOff>1165413</xdr:colOff>
      <xdr:row>46</xdr:row>
      <xdr:rowOff>44824</xdr:rowOff>
    </xdr:to>
    <xdr:sp macro="" textlink="">
      <xdr:nvSpPr>
        <xdr:cNvPr id="4173" name="Flèche vers le bas 417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45</xdr:row>
      <xdr:rowOff>313765</xdr:rowOff>
    </xdr:from>
    <xdr:to>
      <xdr:col>0</xdr:col>
      <xdr:colOff>1165413</xdr:colOff>
      <xdr:row>46</xdr:row>
      <xdr:rowOff>44824</xdr:rowOff>
    </xdr:to>
    <xdr:sp macro="" textlink="">
      <xdr:nvSpPr>
        <xdr:cNvPr id="4174" name="Flèche vers le bas 417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45</xdr:row>
      <xdr:rowOff>313765</xdr:rowOff>
    </xdr:from>
    <xdr:to>
      <xdr:col>0</xdr:col>
      <xdr:colOff>1165413</xdr:colOff>
      <xdr:row>46</xdr:row>
      <xdr:rowOff>44824</xdr:rowOff>
    </xdr:to>
    <xdr:sp macro="" textlink="">
      <xdr:nvSpPr>
        <xdr:cNvPr id="4175" name="Flèche vers le bas 417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45</xdr:row>
      <xdr:rowOff>313765</xdr:rowOff>
    </xdr:from>
    <xdr:to>
      <xdr:col>0</xdr:col>
      <xdr:colOff>1165413</xdr:colOff>
      <xdr:row>46</xdr:row>
      <xdr:rowOff>44824</xdr:rowOff>
    </xdr:to>
    <xdr:sp macro="" textlink="">
      <xdr:nvSpPr>
        <xdr:cNvPr id="4176" name="Flèche vers le bas 417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45</xdr:row>
      <xdr:rowOff>313765</xdr:rowOff>
    </xdr:from>
    <xdr:to>
      <xdr:col>0</xdr:col>
      <xdr:colOff>1165413</xdr:colOff>
      <xdr:row>46</xdr:row>
      <xdr:rowOff>44824</xdr:rowOff>
    </xdr:to>
    <xdr:sp macro="" textlink="">
      <xdr:nvSpPr>
        <xdr:cNvPr id="4177" name="Flèche vers le bas 417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45</xdr:row>
      <xdr:rowOff>313765</xdr:rowOff>
    </xdr:from>
    <xdr:to>
      <xdr:col>0</xdr:col>
      <xdr:colOff>1165413</xdr:colOff>
      <xdr:row>46</xdr:row>
      <xdr:rowOff>44824</xdr:rowOff>
    </xdr:to>
    <xdr:sp macro="" textlink="">
      <xdr:nvSpPr>
        <xdr:cNvPr id="4178" name="Flèche vers le bas 417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45</xdr:row>
      <xdr:rowOff>313765</xdr:rowOff>
    </xdr:from>
    <xdr:to>
      <xdr:col>0</xdr:col>
      <xdr:colOff>1165413</xdr:colOff>
      <xdr:row>46</xdr:row>
      <xdr:rowOff>44824</xdr:rowOff>
    </xdr:to>
    <xdr:sp macro="" textlink="">
      <xdr:nvSpPr>
        <xdr:cNvPr id="4179" name="Flèche vers le bas 417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46</xdr:row>
      <xdr:rowOff>313765</xdr:rowOff>
    </xdr:from>
    <xdr:to>
      <xdr:col>0</xdr:col>
      <xdr:colOff>1165413</xdr:colOff>
      <xdr:row>47</xdr:row>
      <xdr:rowOff>44824</xdr:rowOff>
    </xdr:to>
    <xdr:sp macro="" textlink="">
      <xdr:nvSpPr>
        <xdr:cNvPr id="4180" name="Flèche vers le bas 417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46</xdr:row>
      <xdr:rowOff>313765</xdr:rowOff>
    </xdr:from>
    <xdr:to>
      <xdr:col>0</xdr:col>
      <xdr:colOff>1165413</xdr:colOff>
      <xdr:row>47</xdr:row>
      <xdr:rowOff>44824</xdr:rowOff>
    </xdr:to>
    <xdr:sp macro="" textlink="">
      <xdr:nvSpPr>
        <xdr:cNvPr id="4181" name="Flèche vers le bas 418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46</xdr:row>
      <xdr:rowOff>313765</xdr:rowOff>
    </xdr:from>
    <xdr:to>
      <xdr:col>0</xdr:col>
      <xdr:colOff>1165413</xdr:colOff>
      <xdr:row>47</xdr:row>
      <xdr:rowOff>44824</xdr:rowOff>
    </xdr:to>
    <xdr:sp macro="" textlink="">
      <xdr:nvSpPr>
        <xdr:cNvPr id="4182" name="Flèche vers le bas 418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46</xdr:row>
      <xdr:rowOff>313765</xdr:rowOff>
    </xdr:from>
    <xdr:to>
      <xdr:col>0</xdr:col>
      <xdr:colOff>1165413</xdr:colOff>
      <xdr:row>47</xdr:row>
      <xdr:rowOff>44824</xdr:rowOff>
    </xdr:to>
    <xdr:sp macro="" textlink="">
      <xdr:nvSpPr>
        <xdr:cNvPr id="4183" name="Flèche vers le bas 418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46</xdr:row>
      <xdr:rowOff>313765</xdr:rowOff>
    </xdr:from>
    <xdr:to>
      <xdr:col>0</xdr:col>
      <xdr:colOff>1165413</xdr:colOff>
      <xdr:row>47</xdr:row>
      <xdr:rowOff>44824</xdr:rowOff>
    </xdr:to>
    <xdr:sp macro="" textlink="">
      <xdr:nvSpPr>
        <xdr:cNvPr id="4184" name="Flèche vers le bas 418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46</xdr:row>
      <xdr:rowOff>313765</xdr:rowOff>
    </xdr:from>
    <xdr:to>
      <xdr:col>0</xdr:col>
      <xdr:colOff>1165413</xdr:colOff>
      <xdr:row>47</xdr:row>
      <xdr:rowOff>44824</xdr:rowOff>
    </xdr:to>
    <xdr:sp macro="" textlink="">
      <xdr:nvSpPr>
        <xdr:cNvPr id="4185" name="Flèche vers le bas 418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46</xdr:row>
      <xdr:rowOff>313765</xdr:rowOff>
    </xdr:from>
    <xdr:to>
      <xdr:col>0</xdr:col>
      <xdr:colOff>1165413</xdr:colOff>
      <xdr:row>47</xdr:row>
      <xdr:rowOff>44824</xdr:rowOff>
    </xdr:to>
    <xdr:sp macro="" textlink="">
      <xdr:nvSpPr>
        <xdr:cNvPr id="4186" name="Flèche vers le bas 418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46</xdr:row>
      <xdr:rowOff>313765</xdr:rowOff>
    </xdr:from>
    <xdr:to>
      <xdr:col>0</xdr:col>
      <xdr:colOff>1165413</xdr:colOff>
      <xdr:row>47</xdr:row>
      <xdr:rowOff>44824</xdr:rowOff>
    </xdr:to>
    <xdr:sp macro="" textlink="">
      <xdr:nvSpPr>
        <xdr:cNvPr id="4187" name="Flèche vers le bas 418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46</xdr:row>
      <xdr:rowOff>313765</xdr:rowOff>
    </xdr:from>
    <xdr:to>
      <xdr:col>0</xdr:col>
      <xdr:colOff>1165413</xdr:colOff>
      <xdr:row>47</xdr:row>
      <xdr:rowOff>44824</xdr:rowOff>
    </xdr:to>
    <xdr:sp macro="" textlink="">
      <xdr:nvSpPr>
        <xdr:cNvPr id="4188" name="Flèche vers le bas 418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47</xdr:row>
      <xdr:rowOff>313765</xdr:rowOff>
    </xdr:from>
    <xdr:to>
      <xdr:col>0</xdr:col>
      <xdr:colOff>1165413</xdr:colOff>
      <xdr:row>48</xdr:row>
      <xdr:rowOff>44824</xdr:rowOff>
    </xdr:to>
    <xdr:sp macro="" textlink="">
      <xdr:nvSpPr>
        <xdr:cNvPr id="4189" name="Flèche vers le bas 418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47</xdr:row>
      <xdr:rowOff>313765</xdr:rowOff>
    </xdr:from>
    <xdr:to>
      <xdr:col>0</xdr:col>
      <xdr:colOff>1165413</xdr:colOff>
      <xdr:row>48</xdr:row>
      <xdr:rowOff>44824</xdr:rowOff>
    </xdr:to>
    <xdr:sp macro="" textlink="">
      <xdr:nvSpPr>
        <xdr:cNvPr id="4190" name="Flèche vers le bas 418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47</xdr:row>
      <xdr:rowOff>313765</xdr:rowOff>
    </xdr:from>
    <xdr:to>
      <xdr:col>0</xdr:col>
      <xdr:colOff>1165413</xdr:colOff>
      <xdr:row>48</xdr:row>
      <xdr:rowOff>44824</xdr:rowOff>
    </xdr:to>
    <xdr:sp macro="" textlink="">
      <xdr:nvSpPr>
        <xdr:cNvPr id="4191" name="Flèche vers le bas 419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47</xdr:row>
      <xdr:rowOff>313765</xdr:rowOff>
    </xdr:from>
    <xdr:to>
      <xdr:col>0</xdr:col>
      <xdr:colOff>1165413</xdr:colOff>
      <xdr:row>48</xdr:row>
      <xdr:rowOff>44824</xdr:rowOff>
    </xdr:to>
    <xdr:sp macro="" textlink="">
      <xdr:nvSpPr>
        <xdr:cNvPr id="4192" name="Flèche vers le bas 419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47</xdr:row>
      <xdr:rowOff>313765</xdr:rowOff>
    </xdr:from>
    <xdr:to>
      <xdr:col>0</xdr:col>
      <xdr:colOff>1165413</xdr:colOff>
      <xdr:row>48</xdr:row>
      <xdr:rowOff>44824</xdr:rowOff>
    </xdr:to>
    <xdr:sp macro="" textlink="">
      <xdr:nvSpPr>
        <xdr:cNvPr id="4193" name="Flèche vers le bas 419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47</xdr:row>
      <xdr:rowOff>313765</xdr:rowOff>
    </xdr:from>
    <xdr:to>
      <xdr:col>0</xdr:col>
      <xdr:colOff>1165413</xdr:colOff>
      <xdr:row>48</xdr:row>
      <xdr:rowOff>44824</xdr:rowOff>
    </xdr:to>
    <xdr:sp macro="" textlink="">
      <xdr:nvSpPr>
        <xdr:cNvPr id="4194" name="Flèche vers le bas 419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47</xdr:row>
      <xdr:rowOff>313765</xdr:rowOff>
    </xdr:from>
    <xdr:to>
      <xdr:col>0</xdr:col>
      <xdr:colOff>1165413</xdr:colOff>
      <xdr:row>48</xdr:row>
      <xdr:rowOff>44824</xdr:rowOff>
    </xdr:to>
    <xdr:sp macro="" textlink="">
      <xdr:nvSpPr>
        <xdr:cNvPr id="4195" name="Flèche vers le bas 419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47</xdr:row>
      <xdr:rowOff>313765</xdr:rowOff>
    </xdr:from>
    <xdr:to>
      <xdr:col>0</xdr:col>
      <xdr:colOff>1165413</xdr:colOff>
      <xdr:row>48</xdr:row>
      <xdr:rowOff>44824</xdr:rowOff>
    </xdr:to>
    <xdr:sp macro="" textlink="">
      <xdr:nvSpPr>
        <xdr:cNvPr id="4196" name="Flèche vers le bas 419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47</xdr:row>
      <xdr:rowOff>313765</xdr:rowOff>
    </xdr:from>
    <xdr:to>
      <xdr:col>0</xdr:col>
      <xdr:colOff>1165413</xdr:colOff>
      <xdr:row>48</xdr:row>
      <xdr:rowOff>44824</xdr:rowOff>
    </xdr:to>
    <xdr:sp macro="" textlink="">
      <xdr:nvSpPr>
        <xdr:cNvPr id="4197" name="Flèche vers le bas 419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48</xdr:row>
      <xdr:rowOff>313765</xdr:rowOff>
    </xdr:from>
    <xdr:to>
      <xdr:col>0</xdr:col>
      <xdr:colOff>1165413</xdr:colOff>
      <xdr:row>49</xdr:row>
      <xdr:rowOff>44824</xdr:rowOff>
    </xdr:to>
    <xdr:sp macro="" textlink="">
      <xdr:nvSpPr>
        <xdr:cNvPr id="4198" name="Flèche vers le bas 419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48</xdr:row>
      <xdr:rowOff>313765</xdr:rowOff>
    </xdr:from>
    <xdr:to>
      <xdr:col>0</xdr:col>
      <xdr:colOff>1165413</xdr:colOff>
      <xdr:row>49</xdr:row>
      <xdr:rowOff>44824</xdr:rowOff>
    </xdr:to>
    <xdr:sp macro="" textlink="">
      <xdr:nvSpPr>
        <xdr:cNvPr id="4199" name="Flèche vers le bas 419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48</xdr:row>
      <xdr:rowOff>313765</xdr:rowOff>
    </xdr:from>
    <xdr:to>
      <xdr:col>0</xdr:col>
      <xdr:colOff>1165413</xdr:colOff>
      <xdr:row>49</xdr:row>
      <xdr:rowOff>44824</xdr:rowOff>
    </xdr:to>
    <xdr:sp macro="" textlink="">
      <xdr:nvSpPr>
        <xdr:cNvPr id="4200" name="Flèche vers le bas 419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48</xdr:row>
      <xdr:rowOff>313765</xdr:rowOff>
    </xdr:from>
    <xdr:to>
      <xdr:col>0</xdr:col>
      <xdr:colOff>1165413</xdr:colOff>
      <xdr:row>49</xdr:row>
      <xdr:rowOff>44824</xdr:rowOff>
    </xdr:to>
    <xdr:sp macro="" textlink="">
      <xdr:nvSpPr>
        <xdr:cNvPr id="4201" name="Flèche vers le bas 420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48</xdr:row>
      <xdr:rowOff>313765</xdr:rowOff>
    </xdr:from>
    <xdr:to>
      <xdr:col>0</xdr:col>
      <xdr:colOff>1165413</xdr:colOff>
      <xdr:row>49</xdr:row>
      <xdr:rowOff>44824</xdr:rowOff>
    </xdr:to>
    <xdr:sp macro="" textlink="">
      <xdr:nvSpPr>
        <xdr:cNvPr id="4202" name="Flèche vers le bas 420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48</xdr:row>
      <xdr:rowOff>313765</xdr:rowOff>
    </xdr:from>
    <xdr:to>
      <xdr:col>0</xdr:col>
      <xdr:colOff>1165413</xdr:colOff>
      <xdr:row>49</xdr:row>
      <xdr:rowOff>44824</xdr:rowOff>
    </xdr:to>
    <xdr:sp macro="" textlink="">
      <xdr:nvSpPr>
        <xdr:cNvPr id="4203" name="Flèche vers le bas 420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48</xdr:row>
      <xdr:rowOff>313765</xdr:rowOff>
    </xdr:from>
    <xdr:to>
      <xdr:col>0</xdr:col>
      <xdr:colOff>1165413</xdr:colOff>
      <xdr:row>49</xdr:row>
      <xdr:rowOff>44824</xdr:rowOff>
    </xdr:to>
    <xdr:sp macro="" textlink="">
      <xdr:nvSpPr>
        <xdr:cNvPr id="4204" name="Flèche vers le bas 420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48</xdr:row>
      <xdr:rowOff>313765</xdr:rowOff>
    </xdr:from>
    <xdr:to>
      <xdr:col>0</xdr:col>
      <xdr:colOff>1165413</xdr:colOff>
      <xdr:row>49</xdr:row>
      <xdr:rowOff>44824</xdr:rowOff>
    </xdr:to>
    <xdr:sp macro="" textlink="">
      <xdr:nvSpPr>
        <xdr:cNvPr id="4205" name="Flèche vers le bas 420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48</xdr:row>
      <xdr:rowOff>313765</xdr:rowOff>
    </xdr:from>
    <xdr:to>
      <xdr:col>0</xdr:col>
      <xdr:colOff>1165413</xdr:colOff>
      <xdr:row>49</xdr:row>
      <xdr:rowOff>44824</xdr:rowOff>
    </xdr:to>
    <xdr:sp macro="" textlink="">
      <xdr:nvSpPr>
        <xdr:cNvPr id="4206" name="Flèche vers le bas 420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49</xdr:row>
      <xdr:rowOff>313765</xdr:rowOff>
    </xdr:from>
    <xdr:to>
      <xdr:col>0</xdr:col>
      <xdr:colOff>1165413</xdr:colOff>
      <xdr:row>50</xdr:row>
      <xdr:rowOff>44824</xdr:rowOff>
    </xdr:to>
    <xdr:sp macro="" textlink="">
      <xdr:nvSpPr>
        <xdr:cNvPr id="4207" name="Flèche vers le bas 420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49</xdr:row>
      <xdr:rowOff>313765</xdr:rowOff>
    </xdr:from>
    <xdr:to>
      <xdr:col>0</xdr:col>
      <xdr:colOff>1165413</xdr:colOff>
      <xdr:row>50</xdr:row>
      <xdr:rowOff>44824</xdr:rowOff>
    </xdr:to>
    <xdr:sp macro="" textlink="">
      <xdr:nvSpPr>
        <xdr:cNvPr id="4208" name="Flèche vers le bas 420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49</xdr:row>
      <xdr:rowOff>313765</xdr:rowOff>
    </xdr:from>
    <xdr:to>
      <xdr:col>0</xdr:col>
      <xdr:colOff>1165413</xdr:colOff>
      <xdr:row>50</xdr:row>
      <xdr:rowOff>44824</xdr:rowOff>
    </xdr:to>
    <xdr:sp macro="" textlink="">
      <xdr:nvSpPr>
        <xdr:cNvPr id="4209" name="Flèche vers le bas 420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49</xdr:row>
      <xdr:rowOff>313765</xdr:rowOff>
    </xdr:from>
    <xdr:to>
      <xdr:col>0</xdr:col>
      <xdr:colOff>1165413</xdr:colOff>
      <xdr:row>50</xdr:row>
      <xdr:rowOff>44824</xdr:rowOff>
    </xdr:to>
    <xdr:sp macro="" textlink="">
      <xdr:nvSpPr>
        <xdr:cNvPr id="4210" name="Flèche vers le bas 420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49</xdr:row>
      <xdr:rowOff>313765</xdr:rowOff>
    </xdr:from>
    <xdr:to>
      <xdr:col>0</xdr:col>
      <xdr:colOff>1165413</xdr:colOff>
      <xdr:row>50</xdr:row>
      <xdr:rowOff>44824</xdr:rowOff>
    </xdr:to>
    <xdr:sp macro="" textlink="">
      <xdr:nvSpPr>
        <xdr:cNvPr id="4211" name="Flèche vers le bas 421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49</xdr:row>
      <xdr:rowOff>313765</xdr:rowOff>
    </xdr:from>
    <xdr:to>
      <xdr:col>0</xdr:col>
      <xdr:colOff>1165413</xdr:colOff>
      <xdr:row>50</xdr:row>
      <xdr:rowOff>44824</xdr:rowOff>
    </xdr:to>
    <xdr:sp macro="" textlink="">
      <xdr:nvSpPr>
        <xdr:cNvPr id="4212" name="Flèche vers le bas 421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49</xdr:row>
      <xdr:rowOff>313765</xdr:rowOff>
    </xdr:from>
    <xdr:to>
      <xdr:col>0</xdr:col>
      <xdr:colOff>1165413</xdr:colOff>
      <xdr:row>50</xdr:row>
      <xdr:rowOff>44824</xdr:rowOff>
    </xdr:to>
    <xdr:sp macro="" textlink="">
      <xdr:nvSpPr>
        <xdr:cNvPr id="4213" name="Flèche vers le bas 421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49</xdr:row>
      <xdr:rowOff>313765</xdr:rowOff>
    </xdr:from>
    <xdr:to>
      <xdr:col>0</xdr:col>
      <xdr:colOff>1165413</xdr:colOff>
      <xdr:row>50</xdr:row>
      <xdr:rowOff>44824</xdr:rowOff>
    </xdr:to>
    <xdr:sp macro="" textlink="">
      <xdr:nvSpPr>
        <xdr:cNvPr id="4214" name="Flèche vers le bas 421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49</xdr:row>
      <xdr:rowOff>313765</xdr:rowOff>
    </xdr:from>
    <xdr:to>
      <xdr:col>0</xdr:col>
      <xdr:colOff>1165413</xdr:colOff>
      <xdr:row>50</xdr:row>
      <xdr:rowOff>44824</xdr:rowOff>
    </xdr:to>
    <xdr:sp macro="" textlink="">
      <xdr:nvSpPr>
        <xdr:cNvPr id="4215" name="Flèche vers le bas 421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50</xdr:row>
      <xdr:rowOff>313765</xdr:rowOff>
    </xdr:from>
    <xdr:to>
      <xdr:col>0</xdr:col>
      <xdr:colOff>1165413</xdr:colOff>
      <xdr:row>51</xdr:row>
      <xdr:rowOff>44824</xdr:rowOff>
    </xdr:to>
    <xdr:sp macro="" textlink="">
      <xdr:nvSpPr>
        <xdr:cNvPr id="4216" name="Flèche vers le bas 421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50</xdr:row>
      <xdr:rowOff>313765</xdr:rowOff>
    </xdr:from>
    <xdr:to>
      <xdr:col>0</xdr:col>
      <xdr:colOff>1165413</xdr:colOff>
      <xdr:row>51</xdr:row>
      <xdr:rowOff>44824</xdr:rowOff>
    </xdr:to>
    <xdr:sp macro="" textlink="">
      <xdr:nvSpPr>
        <xdr:cNvPr id="4217" name="Flèche vers le bas 421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50</xdr:row>
      <xdr:rowOff>313765</xdr:rowOff>
    </xdr:from>
    <xdr:to>
      <xdr:col>0</xdr:col>
      <xdr:colOff>1165413</xdr:colOff>
      <xdr:row>51</xdr:row>
      <xdr:rowOff>44824</xdr:rowOff>
    </xdr:to>
    <xdr:sp macro="" textlink="">
      <xdr:nvSpPr>
        <xdr:cNvPr id="4218" name="Flèche vers le bas 421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50</xdr:row>
      <xdr:rowOff>313765</xdr:rowOff>
    </xdr:from>
    <xdr:to>
      <xdr:col>0</xdr:col>
      <xdr:colOff>1165413</xdr:colOff>
      <xdr:row>51</xdr:row>
      <xdr:rowOff>44824</xdr:rowOff>
    </xdr:to>
    <xdr:sp macro="" textlink="">
      <xdr:nvSpPr>
        <xdr:cNvPr id="4219" name="Flèche vers le bas 421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50</xdr:row>
      <xdr:rowOff>313765</xdr:rowOff>
    </xdr:from>
    <xdr:to>
      <xdr:col>0</xdr:col>
      <xdr:colOff>1165413</xdr:colOff>
      <xdr:row>51</xdr:row>
      <xdr:rowOff>44824</xdr:rowOff>
    </xdr:to>
    <xdr:sp macro="" textlink="">
      <xdr:nvSpPr>
        <xdr:cNvPr id="4220" name="Flèche vers le bas 421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50</xdr:row>
      <xdr:rowOff>313765</xdr:rowOff>
    </xdr:from>
    <xdr:to>
      <xdr:col>0</xdr:col>
      <xdr:colOff>1165413</xdr:colOff>
      <xdr:row>51</xdr:row>
      <xdr:rowOff>44824</xdr:rowOff>
    </xdr:to>
    <xdr:sp macro="" textlink="">
      <xdr:nvSpPr>
        <xdr:cNvPr id="4221" name="Flèche vers le bas 422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50</xdr:row>
      <xdr:rowOff>313765</xdr:rowOff>
    </xdr:from>
    <xdr:to>
      <xdr:col>0</xdr:col>
      <xdr:colOff>1165413</xdr:colOff>
      <xdr:row>51</xdr:row>
      <xdr:rowOff>44824</xdr:rowOff>
    </xdr:to>
    <xdr:sp macro="" textlink="">
      <xdr:nvSpPr>
        <xdr:cNvPr id="4222" name="Flèche vers le bas 422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50</xdr:row>
      <xdr:rowOff>313765</xdr:rowOff>
    </xdr:from>
    <xdr:to>
      <xdr:col>0</xdr:col>
      <xdr:colOff>1165413</xdr:colOff>
      <xdr:row>51</xdr:row>
      <xdr:rowOff>44824</xdr:rowOff>
    </xdr:to>
    <xdr:sp macro="" textlink="">
      <xdr:nvSpPr>
        <xdr:cNvPr id="4223" name="Flèche vers le bas 422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50</xdr:row>
      <xdr:rowOff>313765</xdr:rowOff>
    </xdr:from>
    <xdr:to>
      <xdr:col>0</xdr:col>
      <xdr:colOff>1165413</xdr:colOff>
      <xdr:row>51</xdr:row>
      <xdr:rowOff>44824</xdr:rowOff>
    </xdr:to>
    <xdr:sp macro="" textlink="">
      <xdr:nvSpPr>
        <xdr:cNvPr id="4224" name="Flèche vers le bas 422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51</xdr:row>
      <xdr:rowOff>313765</xdr:rowOff>
    </xdr:from>
    <xdr:to>
      <xdr:col>0</xdr:col>
      <xdr:colOff>1165413</xdr:colOff>
      <xdr:row>52</xdr:row>
      <xdr:rowOff>44824</xdr:rowOff>
    </xdr:to>
    <xdr:sp macro="" textlink="">
      <xdr:nvSpPr>
        <xdr:cNvPr id="4225" name="Flèche vers le bas 422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51</xdr:row>
      <xdr:rowOff>313765</xdr:rowOff>
    </xdr:from>
    <xdr:to>
      <xdr:col>0</xdr:col>
      <xdr:colOff>1165413</xdr:colOff>
      <xdr:row>52</xdr:row>
      <xdr:rowOff>44824</xdr:rowOff>
    </xdr:to>
    <xdr:sp macro="" textlink="">
      <xdr:nvSpPr>
        <xdr:cNvPr id="4226" name="Flèche vers le bas 422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51</xdr:row>
      <xdr:rowOff>313765</xdr:rowOff>
    </xdr:from>
    <xdr:to>
      <xdr:col>0</xdr:col>
      <xdr:colOff>1165413</xdr:colOff>
      <xdr:row>52</xdr:row>
      <xdr:rowOff>44824</xdr:rowOff>
    </xdr:to>
    <xdr:sp macro="" textlink="">
      <xdr:nvSpPr>
        <xdr:cNvPr id="4227" name="Flèche vers le bas 422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51</xdr:row>
      <xdr:rowOff>313765</xdr:rowOff>
    </xdr:from>
    <xdr:to>
      <xdr:col>0</xdr:col>
      <xdr:colOff>1165413</xdr:colOff>
      <xdr:row>52</xdr:row>
      <xdr:rowOff>44824</xdr:rowOff>
    </xdr:to>
    <xdr:sp macro="" textlink="">
      <xdr:nvSpPr>
        <xdr:cNvPr id="4228" name="Flèche vers le bas 422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51</xdr:row>
      <xdr:rowOff>313765</xdr:rowOff>
    </xdr:from>
    <xdr:to>
      <xdr:col>0</xdr:col>
      <xdr:colOff>1165413</xdr:colOff>
      <xdr:row>52</xdr:row>
      <xdr:rowOff>44824</xdr:rowOff>
    </xdr:to>
    <xdr:sp macro="" textlink="">
      <xdr:nvSpPr>
        <xdr:cNvPr id="4229" name="Flèche vers le bas 422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51</xdr:row>
      <xdr:rowOff>313765</xdr:rowOff>
    </xdr:from>
    <xdr:to>
      <xdr:col>0</xdr:col>
      <xdr:colOff>1165413</xdr:colOff>
      <xdr:row>52</xdr:row>
      <xdr:rowOff>44824</xdr:rowOff>
    </xdr:to>
    <xdr:sp macro="" textlink="">
      <xdr:nvSpPr>
        <xdr:cNvPr id="4230" name="Flèche vers le bas 422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51</xdr:row>
      <xdr:rowOff>313765</xdr:rowOff>
    </xdr:from>
    <xdr:to>
      <xdr:col>0</xdr:col>
      <xdr:colOff>1165413</xdr:colOff>
      <xdr:row>52</xdr:row>
      <xdr:rowOff>44824</xdr:rowOff>
    </xdr:to>
    <xdr:sp macro="" textlink="">
      <xdr:nvSpPr>
        <xdr:cNvPr id="4231" name="Flèche vers le bas 423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51</xdr:row>
      <xdr:rowOff>313765</xdr:rowOff>
    </xdr:from>
    <xdr:to>
      <xdr:col>0</xdr:col>
      <xdr:colOff>1165413</xdr:colOff>
      <xdr:row>52</xdr:row>
      <xdr:rowOff>44824</xdr:rowOff>
    </xdr:to>
    <xdr:sp macro="" textlink="">
      <xdr:nvSpPr>
        <xdr:cNvPr id="4232" name="Flèche vers le bas 423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51</xdr:row>
      <xdr:rowOff>313765</xdr:rowOff>
    </xdr:from>
    <xdr:to>
      <xdr:col>0</xdr:col>
      <xdr:colOff>1165413</xdr:colOff>
      <xdr:row>52</xdr:row>
      <xdr:rowOff>44824</xdr:rowOff>
    </xdr:to>
    <xdr:sp macro="" textlink="">
      <xdr:nvSpPr>
        <xdr:cNvPr id="4233" name="Flèche vers le bas 423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52</xdr:row>
      <xdr:rowOff>313765</xdr:rowOff>
    </xdr:from>
    <xdr:to>
      <xdr:col>0</xdr:col>
      <xdr:colOff>1165413</xdr:colOff>
      <xdr:row>53</xdr:row>
      <xdr:rowOff>44824</xdr:rowOff>
    </xdr:to>
    <xdr:sp macro="" textlink="">
      <xdr:nvSpPr>
        <xdr:cNvPr id="4234" name="Flèche vers le bas 423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52</xdr:row>
      <xdr:rowOff>313765</xdr:rowOff>
    </xdr:from>
    <xdr:to>
      <xdr:col>0</xdr:col>
      <xdr:colOff>1165413</xdr:colOff>
      <xdr:row>53</xdr:row>
      <xdr:rowOff>44824</xdr:rowOff>
    </xdr:to>
    <xdr:sp macro="" textlink="">
      <xdr:nvSpPr>
        <xdr:cNvPr id="4235" name="Flèche vers le bas 423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52</xdr:row>
      <xdr:rowOff>313765</xdr:rowOff>
    </xdr:from>
    <xdr:to>
      <xdr:col>0</xdr:col>
      <xdr:colOff>1165413</xdr:colOff>
      <xdr:row>53</xdr:row>
      <xdr:rowOff>44824</xdr:rowOff>
    </xdr:to>
    <xdr:sp macro="" textlink="">
      <xdr:nvSpPr>
        <xdr:cNvPr id="4236" name="Flèche vers le bas 423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52</xdr:row>
      <xdr:rowOff>313765</xdr:rowOff>
    </xdr:from>
    <xdr:to>
      <xdr:col>0</xdr:col>
      <xdr:colOff>1165413</xdr:colOff>
      <xdr:row>53</xdr:row>
      <xdr:rowOff>44824</xdr:rowOff>
    </xdr:to>
    <xdr:sp macro="" textlink="">
      <xdr:nvSpPr>
        <xdr:cNvPr id="4237" name="Flèche vers le bas 423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52</xdr:row>
      <xdr:rowOff>313765</xdr:rowOff>
    </xdr:from>
    <xdr:to>
      <xdr:col>0</xdr:col>
      <xdr:colOff>1165413</xdr:colOff>
      <xdr:row>53</xdr:row>
      <xdr:rowOff>44824</xdr:rowOff>
    </xdr:to>
    <xdr:sp macro="" textlink="">
      <xdr:nvSpPr>
        <xdr:cNvPr id="4238" name="Flèche vers le bas 423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52</xdr:row>
      <xdr:rowOff>313765</xdr:rowOff>
    </xdr:from>
    <xdr:to>
      <xdr:col>0</xdr:col>
      <xdr:colOff>1165413</xdr:colOff>
      <xdr:row>53</xdr:row>
      <xdr:rowOff>44824</xdr:rowOff>
    </xdr:to>
    <xdr:sp macro="" textlink="">
      <xdr:nvSpPr>
        <xdr:cNvPr id="4239" name="Flèche vers le bas 423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52</xdr:row>
      <xdr:rowOff>313765</xdr:rowOff>
    </xdr:from>
    <xdr:to>
      <xdr:col>0</xdr:col>
      <xdr:colOff>1165413</xdr:colOff>
      <xdr:row>53</xdr:row>
      <xdr:rowOff>44824</xdr:rowOff>
    </xdr:to>
    <xdr:sp macro="" textlink="">
      <xdr:nvSpPr>
        <xdr:cNvPr id="4240" name="Flèche vers le bas 423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52</xdr:row>
      <xdr:rowOff>313765</xdr:rowOff>
    </xdr:from>
    <xdr:to>
      <xdr:col>0</xdr:col>
      <xdr:colOff>1165413</xdr:colOff>
      <xdr:row>53</xdr:row>
      <xdr:rowOff>44824</xdr:rowOff>
    </xdr:to>
    <xdr:sp macro="" textlink="">
      <xdr:nvSpPr>
        <xdr:cNvPr id="4241" name="Flèche vers le bas 424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52</xdr:row>
      <xdr:rowOff>313765</xdr:rowOff>
    </xdr:from>
    <xdr:to>
      <xdr:col>0</xdr:col>
      <xdr:colOff>1165413</xdr:colOff>
      <xdr:row>53</xdr:row>
      <xdr:rowOff>44824</xdr:rowOff>
    </xdr:to>
    <xdr:sp macro="" textlink="">
      <xdr:nvSpPr>
        <xdr:cNvPr id="4242" name="Flèche vers le bas 424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53</xdr:row>
      <xdr:rowOff>313765</xdr:rowOff>
    </xdr:from>
    <xdr:to>
      <xdr:col>0</xdr:col>
      <xdr:colOff>1165413</xdr:colOff>
      <xdr:row>54</xdr:row>
      <xdr:rowOff>44824</xdr:rowOff>
    </xdr:to>
    <xdr:sp macro="" textlink="">
      <xdr:nvSpPr>
        <xdr:cNvPr id="4243" name="Flèche vers le bas 424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53</xdr:row>
      <xdr:rowOff>313765</xdr:rowOff>
    </xdr:from>
    <xdr:to>
      <xdr:col>0</xdr:col>
      <xdr:colOff>1165413</xdr:colOff>
      <xdr:row>54</xdr:row>
      <xdr:rowOff>44824</xdr:rowOff>
    </xdr:to>
    <xdr:sp macro="" textlink="">
      <xdr:nvSpPr>
        <xdr:cNvPr id="4244" name="Flèche vers le bas 424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53</xdr:row>
      <xdr:rowOff>313765</xdr:rowOff>
    </xdr:from>
    <xdr:to>
      <xdr:col>0</xdr:col>
      <xdr:colOff>1165413</xdr:colOff>
      <xdr:row>54</xdr:row>
      <xdr:rowOff>44824</xdr:rowOff>
    </xdr:to>
    <xdr:sp macro="" textlink="">
      <xdr:nvSpPr>
        <xdr:cNvPr id="4245" name="Flèche vers le bas 424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53</xdr:row>
      <xdr:rowOff>313765</xdr:rowOff>
    </xdr:from>
    <xdr:to>
      <xdr:col>0</xdr:col>
      <xdr:colOff>1165413</xdr:colOff>
      <xdr:row>54</xdr:row>
      <xdr:rowOff>44824</xdr:rowOff>
    </xdr:to>
    <xdr:sp macro="" textlink="">
      <xdr:nvSpPr>
        <xdr:cNvPr id="4246" name="Flèche vers le bas 424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53</xdr:row>
      <xdr:rowOff>313765</xdr:rowOff>
    </xdr:from>
    <xdr:to>
      <xdr:col>0</xdr:col>
      <xdr:colOff>1165413</xdr:colOff>
      <xdr:row>54</xdr:row>
      <xdr:rowOff>44824</xdr:rowOff>
    </xdr:to>
    <xdr:sp macro="" textlink="">
      <xdr:nvSpPr>
        <xdr:cNvPr id="4247" name="Flèche vers le bas 424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53</xdr:row>
      <xdr:rowOff>313765</xdr:rowOff>
    </xdr:from>
    <xdr:to>
      <xdr:col>0</xdr:col>
      <xdr:colOff>1165413</xdr:colOff>
      <xdr:row>54</xdr:row>
      <xdr:rowOff>44824</xdr:rowOff>
    </xdr:to>
    <xdr:sp macro="" textlink="">
      <xdr:nvSpPr>
        <xdr:cNvPr id="4248" name="Flèche vers le bas 424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53</xdr:row>
      <xdr:rowOff>313765</xdr:rowOff>
    </xdr:from>
    <xdr:to>
      <xdr:col>0</xdr:col>
      <xdr:colOff>1165413</xdr:colOff>
      <xdr:row>54</xdr:row>
      <xdr:rowOff>44824</xdr:rowOff>
    </xdr:to>
    <xdr:sp macro="" textlink="">
      <xdr:nvSpPr>
        <xdr:cNvPr id="4249" name="Flèche vers le bas 424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53</xdr:row>
      <xdr:rowOff>313765</xdr:rowOff>
    </xdr:from>
    <xdr:to>
      <xdr:col>0</xdr:col>
      <xdr:colOff>1165413</xdr:colOff>
      <xdr:row>54</xdr:row>
      <xdr:rowOff>44824</xdr:rowOff>
    </xdr:to>
    <xdr:sp macro="" textlink="">
      <xdr:nvSpPr>
        <xdr:cNvPr id="4250" name="Flèche vers le bas 424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53</xdr:row>
      <xdr:rowOff>313765</xdr:rowOff>
    </xdr:from>
    <xdr:to>
      <xdr:col>0</xdr:col>
      <xdr:colOff>1165413</xdr:colOff>
      <xdr:row>54</xdr:row>
      <xdr:rowOff>44824</xdr:rowOff>
    </xdr:to>
    <xdr:sp macro="" textlink="">
      <xdr:nvSpPr>
        <xdr:cNvPr id="4251" name="Flèche vers le bas 425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54</xdr:row>
      <xdr:rowOff>313765</xdr:rowOff>
    </xdr:from>
    <xdr:to>
      <xdr:col>0</xdr:col>
      <xdr:colOff>1165413</xdr:colOff>
      <xdr:row>55</xdr:row>
      <xdr:rowOff>44824</xdr:rowOff>
    </xdr:to>
    <xdr:sp macro="" textlink="">
      <xdr:nvSpPr>
        <xdr:cNvPr id="4252" name="Flèche vers le bas 425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54</xdr:row>
      <xdr:rowOff>313765</xdr:rowOff>
    </xdr:from>
    <xdr:to>
      <xdr:col>0</xdr:col>
      <xdr:colOff>1165413</xdr:colOff>
      <xdr:row>55</xdr:row>
      <xdr:rowOff>44824</xdr:rowOff>
    </xdr:to>
    <xdr:sp macro="" textlink="">
      <xdr:nvSpPr>
        <xdr:cNvPr id="4253" name="Flèche vers le bas 425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54</xdr:row>
      <xdr:rowOff>313765</xdr:rowOff>
    </xdr:from>
    <xdr:to>
      <xdr:col>0</xdr:col>
      <xdr:colOff>1165413</xdr:colOff>
      <xdr:row>55</xdr:row>
      <xdr:rowOff>44824</xdr:rowOff>
    </xdr:to>
    <xdr:sp macro="" textlink="">
      <xdr:nvSpPr>
        <xdr:cNvPr id="4254" name="Flèche vers le bas 425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54</xdr:row>
      <xdr:rowOff>313765</xdr:rowOff>
    </xdr:from>
    <xdr:to>
      <xdr:col>0</xdr:col>
      <xdr:colOff>1165413</xdr:colOff>
      <xdr:row>55</xdr:row>
      <xdr:rowOff>44824</xdr:rowOff>
    </xdr:to>
    <xdr:sp macro="" textlink="">
      <xdr:nvSpPr>
        <xdr:cNvPr id="4255" name="Flèche vers le bas 425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54</xdr:row>
      <xdr:rowOff>313765</xdr:rowOff>
    </xdr:from>
    <xdr:to>
      <xdr:col>0</xdr:col>
      <xdr:colOff>1165413</xdr:colOff>
      <xdr:row>55</xdr:row>
      <xdr:rowOff>44824</xdr:rowOff>
    </xdr:to>
    <xdr:sp macro="" textlink="">
      <xdr:nvSpPr>
        <xdr:cNvPr id="4256" name="Flèche vers le bas 425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54</xdr:row>
      <xdr:rowOff>313765</xdr:rowOff>
    </xdr:from>
    <xdr:to>
      <xdr:col>0</xdr:col>
      <xdr:colOff>1165413</xdr:colOff>
      <xdr:row>55</xdr:row>
      <xdr:rowOff>44824</xdr:rowOff>
    </xdr:to>
    <xdr:sp macro="" textlink="">
      <xdr:nvSpPr>
        <xdr:cNvPr id="4257" name="Flèche vers le bas 425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54</xdr:row>
      <xdr:rowOff>313765</xdr:rowOff>
    </xdr:from>
    <xdr:to>
      <xdr:col>0</xdr:col>
      <xdr:colOff>1165413</xdr:colOff>
      <xdr:row>55</xdr:row>
      <xdr:rowOff>44824</xdr:rowOff>
    </xdr:to>
    <xdr:sp macro="" textlink="">
      <xdr:nvSpPr>
        <xdr:cNvPr id="4258" name="Flèche vers le bas 425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54</xdr:row>
      <xdr:rowOff>313765</xdr:rowOff>
    </xdr:from>
    <xdr:to>
      <xdr:col>0</xdr:col>
      <xdr:colOff>1165413</xdr:colOff>
      <xdr:row>55</xdr:row>
      <xdr:rowOff>44824</xdr:rowOff>
    </xdr:to>
    <xdr:sp macro="" textlink="">
      <xdr:nvSpPr>
        <xdr:cNvPr id="4259" name="Flèche vers le bas 425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54</xdr:row>
      <xdr:rowOff>313765</xdr:rowOff>
    </xdr:from>
    <xdr:to>
      <xdr:col>0</xdr:col>
      <xdr:colOff>1165413</xdr:colOff>
      <xdr:row>55</xdr:row>
      <xdr:rowOff>44824</xdr:rowOff>
    </xdr:to>
    <xdr:sp macro="" textlink="">
      <xdr:nvSpPr>
        <xdr:cNvPr id="4260" name="Flèche vers le bas 425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55</xdr:row>
      <xdr:rowOff>313765</xdr:rowOff>
    </xdr:from>
    <xdr:to>
      <xdr:col>0</xdr:col>
      <xdr:colOff>1165413</xdr:colOff>
      <xdr:row>56</xdr:row>
      <xdr:rowOff>44824</xdr:rowOff>
    </xdr:to>
    <xdr:sp macro="" textlink="">
      <xdr:nvSpPr>
        <xdr:cNvPr id="4261" name="Flèche vers le bas 426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55</xdr:row>
      <xdr:rowOff>313765</xdr:rowOff>
    </xdr:from>
    <xdr:to>
      <xdr:col>0</xdr:col>
      <xdr:colOff>1165413</xdr:colOff>
      <xdr:row>56</xdr:row>
      <xdr:rowOff>44824</xdr:rowOff>
    </xdr:to>
    <xdr:sp macro="" textlink="">
      <xdr:nvSpPr>
        <xdr:cNvPr id="4262" name="Flèche vers le bas 426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55</xdr:row>
      <xdr:rowOff>313765</xdr:rowOff>
    </xdr:from>
    <xdr:to>
      <xdr:col>0</xdr:col>
      <xdr:colOff>1165413</xdr:colOff>
      <xdr:row>56</xdr:row>
      <xdr:rowOff>44824</xdr:rowOff>
    </xdr:to>
    <xdr:sp macro="" textlink="">
      <xdr:nvSpPr>
        <xdr:cNvPr id="4263" name="Flèche vers le bas 426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55</xdr:row>
      <xdr:rowOff>313765</xdr:rowOff>
    </xdr:from>
    <xdr:to>
      <xdr:col>0</xdr:col>
      <xdr:colOff>1165413</xdr:colOff>
      <xdr:row>56</xdr:row>
      <xdr:rowOff>44824</xdr:rowOff>
    </xdr:to>
    <xdr:sp macro="" textlink="">
      <xdr:nvSpPr>
        <xdr:cNvPr id="4264" name="Flèche vers le bas 426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55</xdr:row>
      <xdr:rowOff>313765</xdr:rowOff>
    </xdr:from>
    <xdr:to>
      <xdr:col>0</xdr:col>
      <xdr:colOff>1165413</xdr:colOff>
      <xdr:row>56</xdr:row>
      <xdr:rowOff>44824</xdr:rowOff>
    </xdr:to>
    <xdr:sp macro="" textlink="">
      <xdr:nvSpPr>
        <xdr:cNvPr id="4265" name="Flèche vers le bas 426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55</xdr:row>
      <xdr:rowOff>313765</xdr:rowOff>
    </xdr:from>
    <xdr:to>
      <xdr:col>0</xdr:col>
      <xdr:colOff>1165413</xdr:colOff>
      <xdr:row>56</xdr:row>
      <xdr:rowOff>44824</xdr:rowOff>
    </xdr:to>
    <xdr:sp macro="" textlink="">
      <xdr:nvSpPr>
        <xdr:cNvPr id="4266" name="Flèche vers le bas 426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55</xdr:row>
      <xdr:rowOff>313765</xdr:rowOff>
    </xdr:from>
    <xdr:to>
      <xdr:col>0</xdr:col>
      <xdr:colOff>1165413</xdr:colOff>
      <xdr:row>56</xdr:row>
      <xdr:rowOff>44824</xdr:rowOff>
    </xdr:to>
    <xdr:sp macro="" textlink="">
      <xdr:nvSpPr>
        <xdr:cNvPr id="4267" name="Flèche vers le bas 426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55</xdr:row>
      <xdr:rowOff>313765</xdr:rowOff>
    </xdr:from>
    <xdr:to>
      <xdr:col>0</xdr:col>
      <xdr:colOff>1165413</xdr:colOff>
      <xdr:row>56</xdr:row>
      <xdr:rowOff>44824</xdr:rowOff>
    </xdr:to>
    <xdr:sp macro="" textlink="">
      <xdr:nvSpPr>
        <xdr:cNvPr id="4268" name="Flèche vers le bas 426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55</xdr:row>
      <xdr:rowOff>313765</xdr:rowOff>
    </xdr:from>
    <xdr:to>
      <xdr:col>0</xdr:col>
      <xdr:colOff>1165413</xdr:colOff>
      <xdr:row>56</xdr:row>
      <xdr:rowOff>44824</xdr:rowOff>
    </xdr:to>
    <xdr:sp macro="" textlink="">
      <xdr:nvSpPr>
        <xdr:cNvPr id="4269" name="Flèche vers le bas 426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56</xdr:row>
      <xdr:rowOff>313765</xdr:rowOff>
    </xdr:from>
    <xdr:to>
      <xdr:col>0</xdr:col>
      <xdr:colOff>1165413</xdr:colOff>
      <xdr:row>57</xdr:row>
      <xdr:rowOff>44824</xdr:rowOff>
    </xdr:to>
    <xdr:sp macro="" textlink="">
      <xdr:nvSpPr>
        <xdr:cNvPr id="4270" name="Flèche vers le bas 426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56</xdr:row>
      <xdr:rowOff>313765</xdr:rowOff>
    </xdr:from>
    <xdr:to>
      <xdr:col>0</xdr:col>
      <xdr:colOff>1165413</xdr:colOff>
      <xdr:row>57</xdr:row>
      <xdr:rowOff>44824</xdr:rowOff>
    </xdr:to>
    <xdr:sp macro="" textlink="">
      <xdr:nvSpPr>
        <xdr:cNvPr id="4271" name="Flèche vers le bas 427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56</xdr:row>
      <xdr:rowOff>313765</xdr:rowOff>
    </xdr:from>
    <xdr:to>
      <xdr:col>0</xdr:col>
      <xdr:colOff>1165413</xdr:colOff>
      <xdr:row>57</xdr:row>
      <xdr:rowOff>44824</xdr:rowOff>
    </xdr:to>
    <xdr:sp macro="" textlink="">
      <xdr:nvSpPr>
        <xdr:cNvPr id="4272" name="Flèche vers le bas 427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56</xdr:row>
      <xdr:rowOff>313765</xdr:rowOff>
    </xdr:from>
    <xdr:to>
      <xdr:col>0</xdr:col>
      <xdr:colOff>1165413</xdr:colOff>
      <xdr:row>57</xdr:row>
      <xdr:rowOff>44824</xdr:rowOff>
    </xdr:to>
    <xdr:sp macro="" textlink="">
      <xdr:nvSpPr>
        <xdr:cNvPr id="4273" name="Flèche vers le bas 427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56</xdr:row>
      <xdr:rowOff>313765</xdr:rowOff>
    </xdr:from>
    <xdr:to>
      <xdr:col>0</xdr:col>
      <xdr:colOff>1165413</xdr:colOff>
      <xdr:row>57</xdr:row>
      <xdr:rowOff>44824</xdr:rowOff>
    </xdr:to>
    <xdr:sp macro="" textlink="">
      <xdr:nvSpPr>
        <xdr:cNvPr id="4274" name="Flèche vers le bas 427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56</xdr:row>
      <xdr:rowOff>313765</xdr:rowOff>
    </xdr:from>
    <xdr:to>
      <xdr:col>0</xdr:col>
      <xdr:colOff>1165413</xdr:colOff>
      <xdr:row>57</xdr:row>
      <xdr:rowOff>44824</xdr:rowOff>
    </xdr:to>
    <xdr:sp macro="" textlink="">
      <xdr:nvSpPr>
        <xdr:cNvPr id="4275" name="Flèche vers le bas 427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56</xdr:row>
      <xdr:rowOff>313765</xdr:rowOff>
    </xdr:from>
    <xdr:to>
      <xdr:col>0</xdr:col>
      <xdr:colOff>1165413</xdr:colOff>
      <xdr:row>57</xdr:row>
      <xdr:rowOff>44824</xdr:rowOff>
    </xdr:to>
    <xdr:sp macro="" textlink="">
      <xdr:nvSpPr>
        <xdr:cNvPr id="4276" name="Flèche vers le bas 427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56</xdr:row>
      <xdr:rowOff>313765</xdr:rowOff>
    </xdr:from>
    <xdr:to>
      <xdr:col>0</xdr:col>
      <xdr:colOff>1165413</xdr:colOff>
      <xdr:row>57</xdr:row>
      <xdr:rowOff>44824</xdr:rowOff>
    </xdr:to>
    <xdr:sp macro="" textlink="">
      <xdr:nvSpPr>
        <xdr:cNvPr id="4277" name="Flèche vers le bas 427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56</xdr:row>
      <xdr:rowOff>313765</xdr:rowOff>
    </xdr:from>
    <xdr:to>
      <xdr:col>0</xdr:col>
      <xdr:colOff>1165413</xdr:colOff>
      <xdr:row>57</xdr:row>
      <xdr:rowOff>44824</xdr:rowOff>
    </xdr:to>
    <xdr:sp macro="" textlink="">
      <xdr:nvSpPr>
        <xdr:cNvPr id="4278" name="Flèche vers le bas 427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57</xdr:row>
      <xdr:rowOff>313765</xdr:rowOff>
    </xdr:from>
    <xdr:to>
      <xdr:col>0</xdr:col>
      <xdr:colOff>1165413</xdr:colOff>
      <xdr:row>58</xdr:row>
      <xdr:rowOff>44824</xdr:rowOff>
    </xdr:to>
    <xdr:sp macro="" textlink="">
      <xdr:nvSpPr>
        <xdr:cNvPr id="4279" name="Flèche vers le bas 427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57</xdr:row>
      <xdr:rowOff>313765</xdr:rowOff>
    </xdr:from>
    <xdr:to>
      <xdr:col>0</xdr:col>
      <xdr:colOff>1165413</xdr:colOff>
      <xdr:row>58</xdr:row>
      <xdr:rowOff>44824</xdr:rowOff>
    </xdr:to>
    <xdr:sp macro="" textlink="">
      <xdr:nvSpPr>
        <xdr:cNvPr id="4280" name="Flèche vers le bas 427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57</xdr:row>
      <xdr:rowOff>313765</xdr:rowOff>
    </xdr:from>
    <xdr:to>
      <xdr:col>0</xdr:col>
      <xdr:colOff>1165413</xdr:colOff>
      <xdr:row>58</xdr:row>
      <xdr:rowOff>44824</xdr:rowOff>
    </xdr:to>
    <xdr:sp macro="" textlink="">
      <xdr:nvSpPr>
        <xdr:cNvPr id="4281" name="Flèche vers le bas 428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57</xdr:row>
      <xdr:rowOff>313765</xdr:rowOff>
    </xdr:from>
    <xdr:to>
      <xdr:col>0</xdr:col>
      <xdr:colOff>1165413</xdr:colOff>
      <xdr:row>58</xdr:row>
      <xdr:rowOff>44824</xdr:rowOff>
    </xdr:to>
    <xdr:sp macro="" textlink="">
      <xdr:nvSpPr>
        <xdr:cNvPr id="4282" name="Flèche vers le bas 428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57</xdr:row>
      <xdr:rowOff>313765</xdr:rowOff>
    </xdr:from>
    <xdr:to>
      <xdr:col>0</xdr:col>
      <xdr:colOff>1165413</xdr:colOff>
      <xdr:row>58</xdr:row>
      <xdr:rowOff>44824</xdr:rowOff>
    </xdr:to>
    <xdr:sp macro="" textlink="">
      <xdr:nvSpPr>
        <xdr:cNvPr id="4283" name="Flèche vers le bas 428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57</xdr:row>
      <xdr:rowOff>313765</xdr:rowOff>
    </xdr:from>
    <xdr:to>
      <xdr:col>0</xdr:col>
      <xdr:colOff>1165413</xdr:colOff>
      <xdr:row>58</xdr:row>
      <xdr:rowOff>44824</xdr:rowOff>
    </xdr:to>
    <xdr:sp macro="" textlink="">
      <xdr:nvSpPr>
        <xdr:cNvPr id="4284" name="Flèche vers le bas 428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57</xdr:row>
      <xdr:rowOff>313765</xdr:rowOff>
    </xdr:from>
    <xdr:to>
      <xdr:col>0</xdr:col>
      <xdr:colOff>1165413</xdr:colOff>
      <xdr:row>58</xdr:row>
      <xdr:rowOff>44824</xdr:rowOff>
    </xdr:to>
    <xdr:sp macro="" textlink="">
      <xdr:nvSpPr>
        <xdr:cNvPr id="4285" name="Flèche vers le bas 428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57</xdr:row>
      <xdr:rowOff>313765</xdr:rowOff>
    </xdr:from>
    <xdr:to>
      <xdr:col>0</xdr:col>
      <xdr:colOff>1165413</xdr:colOff>
      <xdr:row>58</xdr:row>
      <xdr:rowOff>44824</xdr:rowOff>
    </xdr:to>
    <xdr:sp macro="" textlink="">
      <xdr:nvSpPr>
        <xdr:cNvPr id="4286" name="Flèche vers le bas 428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57</xdr:row>
      <xdr:rowOff>313765</xdr:rowOff>
    </xdr:from>
    <xdr:to>
      <xdr:col>0</xdr:col>
      <xdr:colOff>1165413</xdr:colOff>
      <xdr:row>58</xdr:row>
      <xdr:rowOff>44824</xdr:rowOff>
    </xdr:to>
    <xdr:sp macro="" textlink="">
      <xdr:nvSpPr>
        <xdr:cNvPr id="4287" name="Flèche vers le bas 428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58</xdr:row>
      <xdr:rowOff>313765</xdr:rowOff>
    </xdr:from>
    <xdr:to>
      <xdr:col>0</xdr:col>
      <xdr:colOff>1165413</xdr:colOff>
      <xdr:row>59</xdr:row>
      <xdr:rowOff>44824</xdr:rowOff>
    </xdr:to>
    <xdr:sp macro="" textlink="">
      <xdr:nvSpPr>
        <xdr:cNvPr id="4288" name="Flèche vers le bas 428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58</xdr:row>
      <xdr:rowOff>313765</xdr:rowOff>
    </xdr:from>
    <xdr:to>
      <xdr:col>0</xdr:col>
      <xdr:colOff>1165413</xdr:colOff>
      <xdr:row>59</xdr:row>
      <xdr:rowOff>44824</xdr:rowOff>
    </xdr:to>
    <xdr:sp macro="" textlink="">
      <xdr:nvSpPr>
        <xdr:cNvPr id="4289" name="Flèche vers le bas 428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58</xdr:row>
      <xdr:rowOff>313765</xdr:rowOff>
    </xdr:from>
    <xdr:to>
      <xdr:col>0</xdr:col>
      <xdr:colOff>1165413</xdr:colOff>
      <xdr:row>59</xdr:row>
      <xdr:rowOff>44824</xdr:rowOff>
    </xdr:to>
    <xdr:sp macro="" textlink="">
      <xdr:nvSpPr>
        <xdr:cNvPr id="4290" name="Flèche vers le bas 428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58</xdr:row>
      <xdr:rowOff>313765</xdr:rowOff>
    </xdr:from>
    <xdr:to>
      <xdr:col>0</xdr:col>
      <xdr:colOff>1165413</xdr:colOff>
      <xdr:row>59</xdr:row>
      <xdr:rowOff>44824</xdr:rowOff>
    </xdr:to>
    <xdr:sp macro="" textlink="">
      <xdr:nvSpPr>
        <xdr:cNvPr id="4291" name="Flèche vers le bas 429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58</xdr:row>
      <xdr:rowOff>313765</xdr:rowOff>
    </xdr:from>
    <xdr:to>
      <xdr:col>0</xdr:col>
      <xdr:colOff>1165413</xdr:colOff>
      <xdr:row>59</xdr:row>
      <xdr:rowOff>44824</xdr:rowOff>
    </xdr:to>
    <xdr:sp macro="" textlink="">
      <xdr:nvSpPr>
        <xdr:cNvPr id="4292" name="Flèche vers le bas 429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58</xdr:row>
      <xdr:rowOff>313765</xdr:rowOff>
    </xdr:from>
    <xdr:to>
      <xdr:col>0</xdr:col>
      <xdr:colOff>1165413</xdr:colOff>
      <xdr:row>59</xdr:row>
      <xdr:rowOff>44824</xdr:rowOff>
    </xdr:to>
    <xdr:sp macro="" textlink="">
      <xdr:nvSpPr>
        <xdr:cNvPr id="4293" name="Flèche vers le bas 429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58</xdr:row>
      <xdr:rowOff>313765</xdr:rowOff>
    </xdr:from>
    <xdr:to>
      <xdr:col>0</xdr:col>
      <xdr:colOff>1165413</xdr:colOff>
      <xdr:row>59</xdr:row>
      <xdr:rowOff>44824</xdr:rowOff>
    </xdr:to>
    <xdr:sp macro="" textlink="">
      <xdr:nvSpPr>
        <xdr:cNvPr id="4294" name="Flèche vers le bas 429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58</xdr:row>
      <xdr:rowOff>313765</xdr:rowOff>
    </xdr:from>
    <xdr:to>
      <xdr:col>0</xdr:col>
      <xdr:colOff>1165413</xdr:colOff>
      <xdr:row>59</xdr:row>
      <xdr:rowOff>44824</xdr:rowOff>
    </xdr:to>
    <xdr:sp macro="" textlink="">
      <xdr:nvSpPr>
        <xdr:cNvPr id="4295" name="Flèche vers le bas 429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58</xdr:row>
      <xdr:rowOff>313765</xdr:rowOff>
    </xdr:from>
    <xdr:to>
      <xdr:col>0</xdr:col>
      <xdr:colOff>1165413</xdr:colOff>
      <xdr:row>59</xdr:row>
      <xdr:rowOff>44824</xdr:rowOff>
    </xdr:to>
    <xdr:sp macro="" textlink="">
      <xdr:nvSpPr>
        <xdr:cNvPr id="4296" name="Flèche vers le bas 429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59</xdr:row>
      <xdr:rowOff>313765</xdr:rowOff>
    </xdr:from>
    <xdr:to>
      <xdr:col>0</xdr:col>
      <xdr:colOff>1165413</xdr:colOff>
      <xdr:row>60</xdr:row>
      <xdr:rowOff>44824</xdr:rowOff>
    </xdr:to>
    <xdr:sp macro="" textlink="">
      <xdr:nvSpPr>
        <xdr:cNvPr id="4297" name="Flèche vers le bas 429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59</xdr:row>
      <xdr:rowOff>313765</xdr:rowOff>
    </xdr:from>
    <xdr:to>
      <xdr:col>0</xdr:col>
      <xdr:colOff>1165413</xdr:colOff>
      <xdr:row>60</xdr:row>
      <xdr:rowOff>44824</xdr:rowOff>
    </xdr:to>
    <xdr:sp macro="" textlink="">
      <xdr:nvSpPr>
        <xdr:cNvPr id="4298" name="Flèche vers le bas 429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59</xdr:row>
      <xdr:rowOff>313765</xdr:rowOff>
    </xdr:from>
    <xdr:to>
      <xdr:col>0</xdr:col>
      <xdr:colOff>1165413</xdr:colOff>
      <xdr:row>60</xdr:row>
      <xdr:rowOff>44824</xdr:rowOff>
    </xdr:to>
    <xdr:sp macro="" textlink="">
      <xdr:nvSpPr>
        <xdr:cNvPr id="4299" name="Flèche vers le bas 429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59</xdr:row>
      <xdr:rowOff>313765</xdr:rowOff>
    </xdr:from>
    <xdr:to>
      <xdr:col>0</xdr:col>
      <xdr:colOff>1165413</xdr:colOff>
      <xdr:row>60</xdr:row>
      <xdr:rowOff>44824</xdr:rowOff>
    </xdr:to>
    <xdr:sp macro="" textlink="">
      <xdr:nvSpPr>
        <xdr:cNvPr id="4300" name="Flèche vers le bas 429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59</xdr:row>
      <xdr:rowOff>313765</xdr:rowOff>
    </xdr:from>
    <xdr:to>
      <xdr:col>0</xdr:col>
      <xdr:colOff>1165413</xdr:colOff>
      <xdr:row>60</xdr:row>
      <xdr:rowOff>44824</xdr:rowOff>
    </xdr:to>
    <xdr:sp macro="" textlink="">
      <xdr:nvSpPr>
        <xdr:cNvPr id="4301" name="Flèche vers le bas 430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59</xdr:row>
      <xdr:rowOff>313765</xdr:rowOff>
    </xdr:from>
    <xdr:to>
      <xdr:col>0</xdr:col>
      <xdr:colOff>1165413</xdr:colOff>
      <xdr:row>60</xdr:row>
      <xdr:rowOff>44824</xdr:rowOff>
    </xdr:to>
    <xdr:sp macro="" textlink="">
      <xdr:nvSpPr>
        <xdr:cNvPr id="4302" name="Flèche vers le bas 430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59</xdr:row>
      <xdr:rowOff>313765</xdr:rowOff>
    </xdr:from>
    <xdr:to>
      <xdr:col>0</xdr:col>
      <xdr:colOff>1165413</xdr:colOff>
      <xdr:row>60</xdr:row>
      <xdr:rowOff>44824</xdr:rowOff>
    </xdr:to>
    <xdr:sp macro="" textlink="">
      <xdr:nvSpPr>
        <xdr:cNvPr id="4303" name="Flèche vers le bas 430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59</xdr:row>
      <xdr:rowOff>313765</xdr:rowOff>
    </xdr:from>
    <xdr:to>
      <xdr:col>0</xdr:col>
      <xdr:colOff>1165413</xdr:colOff>
      <xdr:row>60</xdr:row>
      <xdr:rowOff>44824</xdr:rowOff>
    </xdr:to>
    <xdr:sp macro="" textlink="">
      <xdr:nvSpPr>
        <xdr:cNvPr id="4304" name="Flèche vers le bas 430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59</xdr:row>
      <xdr:rowOff>313765</xdr:rowOff>
    </xdr:from>
    <xdr:to>
      <xdr:col>0</xdr:col>
      <xdr:colOff>1165413</xdr:colOff>
      <xdr:row>60</xdr:row>
      <xdr:rowOff>44824</xdr:rowOff>
    </xdr:to>
    <xdr:sp macro="" textlink="">
      <xdr:nvSpPr>
        <xdr:cNvPr id="4305" name="Flèche vers le bas 430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60</xdr:row>
      <xdr:rowOff>313765</xdr:rowOff>
    </xdr:from>
    <xdr:to>
      <xdr:col>0</xdr:col>
      <xdr:colOff>1165413</xdr:colOff>
      <xdr:row>61</xdr:row>
      <xdr:rowOff>44824</xdr:rowOff>
    </xdr:to>
    <xdr:sp macro="" textlink="">
      <xdr:nvSpPr>
        <xdr:cNvPr id="4306" name="Flèche vers le bas 430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60</xdr:row>
      <xdr:rowOff>313765</xdr:rowOff>
    </xdr:from>
    <xdr:to>
      <xdr:col>0</xdr:col>
      <xdr:colOff>1165413</xdr:colOff>
      <xdr:row>61</xdr:row>
      <xdr:rowOff>44824</xdr:rowOff>
    </xdr:to>
    <xdr:sp macro="" textlink="">
      <xdr:nvSpPr>
        <xdr:cNvPr id="4307" name="Flèche vers le bas 430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60</xdr:row>
      <xdr:rowOff>313765</xdr:rowOff>
    </xdr:from>
    <xdr:to>
      <xdr:col>0</xdr:col>
      <xdr:colOff>1165413</xdr:colOff>
      <xdr:row>61</xdr:row>
      <xdr:rowOff>44824</xdr:rowOff>
    </xdr:to>
    <xdr:sp macro="" textlink="">
      <xdr:nvSpPr>
        <xdr:cNvPr id="4308" name="Flèche vers le bas 430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60</xdr:row>
      <xdr:rowOff>313765</xdr:rowOff>
    </xdr:from>
    <xdr:to>
      <xdr:col>0</xdr:col>
      <xdr:colOff>1165413</xdr:colOff>
      <xdr:row>61</xdr:row>
      <xdr:rowOff>44824</xdr:rowOff>
    </xdr:to>
    <xdr:sp macro="" textlink="">
      <xdr:nvSpPr>
        <xdr:cNvPr id="4309" name="Flèche vers le bas 430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60</xdr:row>
      <xdr:rowOff>313765</xdr:rowOff>
    </xdr:from>
    <xdr:to>
      <xdr:col>0</xdr:col>
      <xdr:colOff>1165413</xdr:colOff>
      <xdr:row>61</xdr:row>
      <xdr:rowOff>44824</xdr:rowOff>
    </xdr:to>
    <xdr:sp macro="" textlink="">
      <xdr:nvSpPr>
        <xdr:cNvPr id="4310" name="Flèche vers le bas 430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60</xdr:row>
      <xdr:rowOff>313765</xdr:rowOff>
    </xdr:from>
    <xdr:to>
      <xdr:col>0</xdr:col>
      <xdr:colOff>1165413</xdr:colOff>
      <xdr:row>61</xdr:row>
      <xdr:rowOff>44824</xdr:rowOff>
    </xdr:to>
    <xdr:sp macro="" textlink="">
      <xdr:nvSpPr>
        <xdr:cNvPr id="4311" name="Flèche vers le bas 431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60</xdr:row>
      <xdr:rowOff>313765</xdr:rowOff>
    </xdr:from>
    <xdr:to>
      <xdr:col>0</xdr:col>
      <xdr:colOff>1165413</xdr:colOff>
      <xdr:row>61</xdr:row>
      <xdr:rowOff>44824</xdr:rowOff>
    </xdr:to>
    <xdr:sp macro="" textlink="">
      <xdr:nvSpPr>
        <xdr:cNvPr id="4312" name="Flèche vers le bas 431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60</xdr:row>
      <xdr:rowOff>313765</xdr:rowOff>
    </xdr:from>
    <xdr:to>
      <xdr:col>0</xdr:col>
      <xdr:colOff>1165413</xdr:colOff>
      <xdr:row>61</xdr:row>
      <xdr:rowOff>44824</xdr:rowOff>
    </xdr:to>
    <xdr:sp macro="" textlink="">
      <xdr:nvSpPr>
        <xdr:cNvPr id="4313" name="Flèche vers le bas 431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60</xdr:row>
      <xdr:rowOff>313765</xdr:rowOff>
    </xdr:from>
    <xdr:to>
      <xdr:col>0</xdr:col>
      <xdr:colOff>1165413</xdr:colOff>
      <xdr:row>61</xdr:row>
      <xdr:rowOff>44824</xdr:rowOff>
    </xdr:to>
    <xdr:sp macro="" textlink="">
      <xdr:nvSpPr>
        <xdr:cNvPr id="4314" name="Flèche vers le bas 431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61</xdr:row>
      <xdr:rowOff>313765</xdr:rowOff>
    </xdr:from>
    <xdr:to>
      <xdr:col>0</xdr:col>
      <xdr:colOff>1165413</xdr:colOff>
      <xdr:row>62</xdr:row>
      <xdr:rowOff>44824</xdr:rowOff>
    </xdr:to>
    <xdr:sp macro="" textlink="">
      <xdr:nvSpPr>
        <xdr:cNvPr id="4315" name="Flèche vers le bas 431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61</xdr:row>
      <xdr:rowOff>313765</xdr:rowOff>
    </xdr:from>
    <xdr:to>
      <xdr:col>0</xdr:col>
      <xdr:colOff>1165413</xdr:colOff>
      <xdr:row>62</xdr:row>
      <xdr:rowOff>44824</xdr:rowOff>
    </xdr:to>
    <xdr:sp macro="" textlink="">
      <xdr:nvSpPr>
        <xdr:cNvPr id="4316" name="Flèche vers le bas 431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61</xdr:row>
      <xdr:rowOff>313765</xdr:rowOff>
    </xdr:from>
    <xdr:to>
      <xdr:col>0</xdr:col>
      <xdr:colOff>1165413</xdr:colOff>
      <xdr:row>62</xdr:row>
      <xdr:rowOff>44824</xdr:rowOff>
    </xdr:to>
    <xdr:sp macro="" textlink="">
      <xdr:nvSpPr>
        <xdr:cNvPr id="4317" name="Flèche vers le bas 431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61</xdr:row>
      <xdr:rowOff>313765</xdr:rowOff>
    </xdr:from>
    <xdr:to>
      <xdr:col>0</xdr:col>
      <xdr:colOff>1165413</xdr:colOff>
      <xdr:row>62</xdr:row>
      <xdr:rowOff>44824</xdr:rowOff>
    </xdr:to>
    <xdr:sp macro="" textlink="">
      <xdr:nvSpPr>
        <xdr:cNvPr id="4318" name="Flèche vers le bas 431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61</xdr:row>
      <xdr:rowOff>313765</xdr:rowOff>
    </xdr:from>
    <xdr:to>
      <xdr:col>0</xdr:col>
      <xdr:colOff>1165413</xdr:colOff>
      <xdr:row>62</xdr:row>
      <xdr:rowOff>44824</xdr:rowOff>
    </xdr:to>
    <xdr:sp macro="" textlink="">
      <xdr:nvSpPr>
        <xdr:cNvPr id="4319" name="Flèche vers le bas 431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61</xdr:row>
      <xdr:rowOff>313765</xdr:rowOff>
    </xdr:from>
    <xdr:to>
      <xdr:col>0</xdr:col>
      <xdr:colOff>1165413</xdr:colOff>
      <xdr:row>62</xdr:row>
      <xdr:rowOff>44824</xdr:rowOff>
    </xdr:to>
    <xdr:sp macro="" textlink="">
      <xdr:nvSpPr>
        <xdr:cNvPr id="4320" name="Flèche vers le bas 431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61</xdr:row>
      <xdr:rowOff>313765</xdr:rowOff>
    </xdr:from>
    <xdr:to>
      <xdr:col>0</xdr:col>
      <xdr:colOff>1165413</xdr:colOff>
      <xdr:row>62</xdr:row>
      <xdr:rowOff>44824</xdr:rowOff>
    </xdr:to>
    <xdr:sp macro="" textlink="">
      <xdr:nvSpPr>
        <xdr:cNvPr id="4321" name="Flèche vers le bas 432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61</xdr:row>
      <xdr:rowOff>313765</xdr:rowOff>
    </xdr:from>
    <xdr:to>
      <xdr:col>0</xdr:col>
      <xdr:colOff>1165413</xdr:colOff>
      <xdr:row>62</xdr:row>
      <xdr:rowOff>44824</xdr:rowOff>
    </xdr:to>
    <xdr:sp macro="" textlink="">
      <xdr:nvSpPr>
        <xdr:cNvPr id="4322" name="Flèche vers le bas 432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61</xdr:row>
      <xdr:rowOff>313765</xdr:rowOff>
    </xdr:from>
    <xdr:to>
      <xdr:col>0</xdr:col>
      <xdr:colOff>1165413</xdr:colOff>
      <xdr:row>62</xdr:row>
      <xdr:rowOff>44824</xdr:rowOff>
    </xdr:to>
    <xdr:sp macro="" textlink="">
      <xdr:nvSpPr>
        <xdr:cNvPr id="4323" name="Flèche vers le bas 432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62</xdr:row>
      <xdr:rowOff>313765</xdr:rowOff>
    </xdr:from>
    <xdr:to>
      <xdr:col>0</xdr:col>
      <xdr:colOff>1165413</xdr:colOff>
      <xdr:row>63</xdr:row>
      <xdr:rowOff>44824</xdr:rowOff>
    </xdr:to>
    <xdr:sp macro="" textlink="">
      <xdr:nvSpPr>
        <xdr:cNvPr id="4324" name="Flèche vers le bas 432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62</xdr:row>
      <xdr:rowOff>313765</xdr:rowOff>
    </xdr:from>
    <xdr:to>
      <xdr:col>0</xdr:col>
      <xdr:colOff>1165413</xdr:colOff>
      <xdr:row>63</xdr:row>
      <xdr:rowOff>44824</xdr:rowOff>
    </xdr:to>
    <xdr:sp macro="" textlink="">
      <xdr:nvSpPr>
        <xdr:cNvPr id="4325" name="Flèche vers le bas 432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62</xdr:row>
      <xdr:rowOff>313765</xdr:rowOff>
    </xdr:from>
    <xdr:to>
      <xdr:col>0</xdr:col>
      <xdr:colOff>1165413</xdr:colOff>
      <xdr:row>63</xdr:row>
      <xdr:rowOff>44824</xdr:rowOff>
    </xdr:to>
    <xdr:sp macro="" textlink="">
      <xdr:nvSpPr>
        <xdr:cNvPr id="4326" name="Flèche vers le bas 432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62</xdr:row>
      <xdr:rowOff>313765</xdr:rowOff>
    </xdr:from>
    <xdr:to>
      <xdr:col>0</xdr:col>
      <xdr:colOff>1165413</xdr:colOff>
      <xdr:row>63</xdr:row>
      <xdr:rowOff>44824</xdr:rowOff>
    </xdr:to>
    <xdr:sp macro="" textlink="">
      <xdr:nvSpPr>
        <xdr:cNvPr id="4327" name="Flèche vers le bas 432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62</xdr:row>
      <xdr:rowOff>313765</xdr:rowOff>
    </xdr:from>
    <xdr:to>
      <xdr:col>0</xdr:col>
      <xdr:colOff>1165413</xdr:colOff>
      <xdr:row>63</xdr:row>
      <xdr:rowOff>44824</xdr:rowOff>
    </xdr:to>
    <xdr:sp macro="" textlink="">
      <xdr:nvSpPr>
        <xdr:cNvPr id="4328" name="Flèche vers le bas 432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62</xdr:row>
      <xdr:rowOff>313765</xdr:rowOff>
    </xdr:from>
    <xdr:to>
      <xdr:col>0</xdr:col>
      <xdr:colOff>1165413</xdr:colOff>
      <xdr:row>63</xdr:row>
      <xdr:rowOff>44824</xdr:rowOff>
    </xdr:to>
    <xdr:sp macro="" textlink="">
      <xdr:nvSpPr>
        <xdr:cNvPr id="4329" name="Flèche vers le bas 432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62</xdr:row>
      <xdr:rowOff>313765</xdr:rowOff>
    </xdr:from>
    <xdr:to>
      <xdr:col>0</xdr:col>
      <xdr:colOff>1165413</xdr:colOff>
      <xdr:row>63</xdr:row>
      <xdr:rowOff>44824</xdr:rowOff>
    </xdr:to>
    <xdr:sp macro="" textlink="">
      <xdr:nvSpPr>
        <xdr:cNvPr id="4330" name="Flèche vers le bas 432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62</xdr:row>
      <xdr:rowOff>313765</xdr:rowOff>
    </xdr:from>
    <xdr:to>
      <xdr:col>0</xdr:col>
      <xdr:colOff>1165413</xdr:colOff>
      <xdr:row>63</xdr:row>
      <xdr:rowOff>44824</xdr:rowOff>
    </xdr:to>
    <xdr:sp macro="" textlink="">
      <xdr:nvSpPr>
        <xdr:cNvPr id="4331" name="Flèche vers le bas 433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62</xdr:row>
      <xdr:rowOff>313765</xdr:rowOff>
    </xdr:from>
    <xdr:to>
      <xdr:col>0</xdr:col>
      <xdr:colOff>1165413</xdr:colOff>
      <xdr:row>63</xdr:row>
      <xdr:rowOff>44824</xdr:rowOff>
    </xdr:to>
    <xdr:sp macro="" textlink="">
      <xdr:nvSpPr>
        <xdr:cNvPr id="4332" name="Flèche vers le bas 433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63</xdr:row>
      <xdr:rowOff>313765</xdr:rowOff>
    </xdr:from>
    <xdr:to>
      <xdr:col>0</xdr:col>
      <xdr:colOff>1165413</xdr:colOff>
      <xdr:row>64</xdr:row>
      <xdr:rowOff>44824</xdr:rowOff>
    </xdr:to>
    <xdr:sp macro="" textlink="">
      <xdr:nvSpPr>
        <xdr:cNvPr id="4333" name="Flèche vers le bas 433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63</xdr:row>
      <xdr:rowOff>313765</xdr:rowOff>
    </xdr:from>
    <xdr:to>
      <xdr:col>0</xdr:col>
      <xdr:colOff>1165413</xdr:colOff>
      <xdr:row>64</xdr:row>
      <xdr:rowOff>44824</xdr:rowOff>
    </xdr:to>
    <xdr:sp macro="" textlink="">
      <xdr:nvSpPr>
        <xdr:cNvPr id="4334" name="Flèche vers le bas 433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63</xdr:row>
      <xdr:rowOff>313765</xdr:rowOff>
    </xdr:from>
    <xdr:to>
      <xdr:col>0</xdr:col>
      <xdr:colOff>1165413</xdr:colOff>
      <xdr:row>64</xdr:row>
      <xdr:rowOff>44824</xdr:rowOff>
    </xdr:to>
    <xdr:sp macro="" textlink="">
      <xdr:nvSpPr>
        <xdr:cNvPr id="4335" name="Flèche vers le bas 433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63</xdr:row>
      <xdr:rowOff>313765</xdr:rowOff>
    </xdr:from>
    <xdr:to>
      <xdr:col>0</xdr:col>
      <xdr:colOff>1165413</xdr:colOff>
      <xdr:row>64</xdr:row>
      <xdr:rowOff>44824</xdr:rowOff>
    </xdr:to>
    <xdr:sp macro="" textlink="">
      <xdr:nvSpPr>
        <xdr:cNvPr id="4336" name="Flèche vers le bas 433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63</xdr:row>
      <xdr:rowOff>313765</xdr:rowOff>
    </xdr:from>
    <xdr:to>
      <xdr:col>0</xdr:col>
      <xdr:colOff>1165413</xdr:colOff>
      <xdr:row>64</xdr:row>
      <xdr:rowOff>44824</xdr:rowOff>
    </xdr:to>
    <xdr:sp macro="" textlink="">
      <xdr:nvSpPr>
        <xdr:cNvPr id="4337" name="Flèche vers le bas 433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63</xdr:row>
      <xdr:rowOff>313765</xdr:rowOff>
    </xdr:from>
    <xdr:to>
      <xdr:col>0</xdr:col>
      <xdr:colOff>1165413</xdr:colOff>
      <xdr:row>64</xdr:row>
      <xdr:rowOff>44824</xdr:rowOff>
    </xdr:to>
    <xdr:sp macro="" textlink="">
      <xdr:nvSpPr>
        <xdr:cNvPr id="4338" name="Flèche vers le bas 433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63</xdr:row>
      <xdr:rowOff>313765</xdr:rowOff>
    </xdr:from>
    <xdr:to>
      <xdr:col>0</xdr:col>
      <xdr:colOff>1165413</xdr:colOff>
      <xdr:row>64</xdr:row>
      <xdr:rowOff>44824</xdr:rowOff>
    </xdr:to>
    <xdr:sp macro="" textlink="">
      <xdr:nvSpPr>
        <xdr:cNvPr id="4339" name="Flèche vers le bas 433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63</xdr:row>
      <xdr:rowOff>313765</xdr:rowOff>
    </xdr:from>
    <xdr:to>
      <xdr:col>0</xdr:col>
      <xdr:colOff>1165413</xdr:colOff>
      <xdr:row>64</xdr:row>
      <xdr:rowOff>44824</xdr:rowOff>
    </xdr:to>
    <xdr:sp macro="" textlink="">
      <xdr:nvSpPr>
        <xdr:cNvPr id="4340" name="Flèche vers le bas 433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63</xdr:row>
      <xdr:rowOff>313765</xdr:rowOff>
    </xdr:from>
    <xdr:to>
      <xdr:col>0</xdr:col>
      <xdr:colOff>1165413</xdr:colOff>
      <xdr:row>64</xdr:row>
      <xdr:rowOff>44824</xdr:rowOff>
    </xdr:to>
    <xdr:sp macro="" textlink="">
      <xdr:nvSpPr>
        <xdr:cNvPr id="4341" name="Flèche vers le bas 434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64</xdr:row>
      <xdr:rowOff>313765</xdr:rowOff>
    </xdr:from>
    <xdr:to>
      <xdr:col>0</xdr:col>
      <xdr:colOff>1165413</xdr:colOff>
      <xdr:row>65</xdr:row>
      <xdr:rowOff>44824</xdr:rowOff>
    </xdr:to>
    <xdr:sp macro="" textlink="">
      <xdr:nvSpPr>
        <xdr:cNvPr id="4342" name="Flèche vers le bas 434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64</xdr:row>
      <xdr:rowOff>313765</xdr:rowOff>
    </xdr:from>
    <xdr:to>
      <xdr:col>0</xdr:col>
      <xdr:colOff>1165413</xdr:colOff>
      <xdr:row>65</xdr:row>
      <xdr:rowOff>44824</xdr:rowOff>
    </xdr:to>
    <xdr:sp macro="" textlink="">
      <xdr:nvSpPr>
        <xdr:cNvPr id="4343" name="Flèche vers le bas 434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64</xdr:row>
      <xdr:rowOff>313765</xdr:rowOff>
    </xdr:from>
    <xdr:to>
      <xdr:col>0</xdr:col>
      <xdr:colOff>1165413</xdr:colOff>
      <xdr:row>65</xdr:row>
      <xdr:rowOff>44824</xdr:rowOff>
    </xdr:to>
    <xdr:sp macro="" textlink="">
      <xdr:nvSpPr>
        <xdr:cNvPr id="4344" name="Flèche vers le bas 434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64</xdr:row>
      <xdr:rowOff>313765</xdr:rowOff>
    </xdr:from>
    <xdr:to>
      <xdr:col>0</xdr:col>
      <xdr:colOff>1165413</xdr:colOff>
      <xdr:row>65</xdr:row>
      <xdr:rowOff>44824</xdr:rowOff>
    </xdr:to>
    <xdr:sp macro="" textlink="">
      <xdr:nvSpPr>
        <xdr:cNvPr id="4345" name="Flèche vers le bas 434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64</xdr:row>
      <xdr:rowOff>313765</xdr:rowOff>
    </xdr:from>
    <xdr:to>
      <xdr:col>0</xdr:col>
      <xdr:colOff>1165413</xdr:colOff>
      <xdr:row>65</xdr:row>
      <xdr:rowOff>44824</xdr:rowOff>
    </xdr:to>
    <xdr:sp macro="" textlink="">
      <xdr:nvSpPr>
        <xdr:cNvPr id="4346" name="Flèche vers le bas 434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64</xdr:row>
      <xdr:rowOff>313765</xdr:rowOff>
    </xdr:from>
    <xdr:to>
      <xdr:col>0</xdr:col>
      <xdr:colOff>1165413</xdr:colOff>
      <xdr:row>65</xdr:row>
      <xdr:rowOff>44824</xdr:rowOff>
    </xdr:to>
    <xdr:sp macro="" textlink="">
      <xdr:nvSpPr>
        <xdr:cNvPr id="4347" name="Flèche vers le bas 434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64</xdr:row>
      <xdr:rowOff>313765</xdr:rowOff>
    </xdr:from>
    <xdr:to>
      <xdr:col>0</xdr:col>
      <xdr:colOff>1165413</xdr:colOff>
      <xdr:row>65</xdr:row>
      <xdr:rowOff>44824</xdr:rowOff>
    </xdr:to>
    <xdr:sp macro="" textlink="">
      <xdr:nvSpPr>
        <xdr:cNvPr id="4348" name="Flèche vers le bas 434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64</xdr:row>
      <xdr:rowOff>313765</xdr:rowOff>
    </xdr:from>
    <xdr:to>
      <xdr:col>0</xdr:col>
      <xdr:colOff>1165413</xdr:colOff>
      <xdr:row>65</xdr:row>
      <xdr:rowOff>44824</xdr:rowOff>
    </xdr:to>
    <xdr:sp macro="" textlink="">
      <xdr:nvSpPr>
        <xdr:cNvPr id="4349" name="Flèche vers le bas 434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64</xdr:row>
      <xdr:rowOff>313765</xdr:rowOff>
    </xdr:from>
    <xdr:to>
      <xdr:col>0</xdr:col>
      <xdr:colOff>1165413</xdr:colOff>
      <xdr:row>65</xdr:row>
      <xdr:rowOff>44824</xdr:rowOff>
    </xdr:to>
    <xdr:sp macro="" textlink="">
      <xdr:nvSpPr>
        <xdr:cNvPr id="4350" name="Flèche vers le bas 434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65</xdr:row>
      <xdr:rowOff>313765</xdr:rowOff>
    </xdr:from>
    <xdr:to>
      <xdr:col>0</xdr:col>
      <xdr:colOff>1165413</xdr:colOff>
      <xdr:row>66</xdr:row>
      <xdr:rowOff>44824</xdr:rowOff>
    </xdr:to>
    <xdr:sp macro="" textlink="">
      <xdr:nvSpPr>
        <xdr:cNvPr id="4351" name="Flèche vers le bas 435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65</xdr:row>
      <xdr:rowOff>313765</xdr:rowOff>
    </xdr:from>
    <xdr:to>
      <xdr:col>0</xdr:col>
      <xdr:colOff>1165413</xdr:colOff>
      <xdr:row>66</xdr:row>
      <xdr:rowOff>44824</xdr:rowOff>
    </xdr:to>
    <xdr:sp macro="" textlink="">
      <xdr:nvSpPr>
        <xdr:cNvPr id="4352" name="Flèche vers le bas 435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65</xdr:row>
      <xdr:rowOff>313765</xdr:rowOff>
    </xdr:from>
    <xdr:to>
      <xdr:col>0</xdr:col>
      <xdr:colOff>1165413</xdr:colOff>
      <xdr:row>66</xdr:row>
      <xdr:rowOff>44824</xdr:rowOff>
    </xdr:to>
    <xdr:sp macro="" textlink="">
      <xdr:nvSpPr>
        <xdr:cNvPr id="4353" name="Flèche vers le bas 435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65</xdr:row>
      <xdr:rowOff>313765</xdr:rowOff>
    </xdr:from>
    <xdr:to>
      <xdr:col>0</xdr:col>
      <xdr:colOff>1165413</xdr:colOff>
      <xdr:row>66</xdr:row>
      <xdr:rowOff>44824</xdr:rowOff>
    </xdr:to>
    <xdr:sp macro="" textlink="">
      <xdr:nvSpPr>
        <xdr:cNvPr id="4354" name="Flèche vers le bas 435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65</xdr:row>
      <xdr:rowOff>313765</xdr:rowOff>
    </xdr:from>
    <xdr:to>
      <xdr:col>0</xdr:col>
      <xdr:colOff>1165413</xdr:colOff>
      <xdr:row>66</xdr:row>
      <xdr:rowOff>44824</xdr:rowOff>
    </xdr:to>
    <xdr:sp macro="" textlink="">
      <xdr:nvSpPr>
        <xdr:cNvPr id="4355" name="Flèche vers le bas 435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65</xdr:row>
      <xdr:rowOff>313765</xdr:rowOff>
    </xdr:from>
    <xdr:to>
      <xdr:col>0</xdr:col>
      <xdr:colOff>1165413</xdr:colOff>
      <xdr:row>66</xdr:row>
      <xdr:rowOff>44824</xdr:rowOff>
    </xdr:to>
    <xdr:sp macro="" textlink="">
      <xdr:nvSpPr>
        <xdr:cNvPr id="4356" name="Flèche vers le bas 435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65</xdr:row>
      <xdr:rowOff>313765</xdr:rowOff>
    </xdr:from>
    <xdr:to>
      <xdr:col>0</xdr:col>
      <xdr:colOff>1165413</xdr:colOff>
      <xdr:row>66</xdr:row>
      <xdr:rowOff>44824</xdr:rowOff>
    </xdr:to>
    <xdr:sp macro="" textlink="">
      <xdr:nvSpPr>
        <xdr:cNvPr id="4357" name="Flèche vers le bas 435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65</xdr:row>
      <xdr:rowOff>313765</xdr:rowOff>
    </xdr:from>
    <xdr:to>
      <xdr:col>0</xdr:col>
      <xdr:colOff>1165413</xdr:colOff>
      <xdr:row>66</xdr:row>
      <xdr:rowOff>44824</xdr:rowOff>
    </xdr:to>
    <xdr:sp macro="" textlink="">
      <xdr:nvSpPr>
        <xdr:cNvPr id="4358" name="Flèche vers le bas 435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65</xdr:row>
      <xdr:rowOff>313765</xdr:rowOff>
    </xdr:from>
    <xdr:to>
      <xdr:col>0</xdr:col>
      <xdr:colOff>1165413</xdr:colOff>
      <xdr:row>66</xdr:row>
      <xdr:rowOff>44824</xdr:rowOff>
    </xdr:to>
    <xdr:sp macro="" textlink="">
      <xdr:nvSpPr>
        <xdr:cNvPr id="4359" name="Flèche vers le bas 435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66</xdr:row>
      <xdr:rowOff>313765</xdr:rowOff>
    </xdr:from>
    <xdr:to>
      <xdr:col>0</xdr:col>
      <xdr:colOff>1165413</xdr:colOff>
      <xdr:row>67</xdr:row>
      <xdr:rowOff>44824</xdr:rowOff>
    </xdr:to>
    <xdr:sp macro="" textlink="">
      <xdr:nvSpPr>
        <xdr:cNvPr id="4360" name="Flèche vers le bas 435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66</xdr:row>
      <xdr:rowOff>313765</xdr:rowOff>
    </xdr:from>
    <xdr:to>
      <xdr:col>0</xdr:col>
      <xdr:colOff>1165413</xdr:colOff>
      <xdr:row>67</xdr:row>
      <xdr:rowOff>44824</xdr:rowOff>
    </xdr:to>
    <xdr:sp macro="" textlink="">
      <xdr:nvSpPr>
        <xdr:cNvPr id="4361" name="Flèche vers le bas 436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66</xdr:row>
      <xdr:rowOff>313765</xdr:rowOff>
    </xdr:from>
    <xdr:to>
      <xdr:col>0</xdr:col>
      <xdr:colOff>1165413</xdr:colOff>
      <xdr:row>67</xdr:row>
      <xdr:rowOff>44824</xdr:rowOff>
    </xdr:to>
    <xdr:sp macro="" textlink="">
      <xdr:nvSpPr>
        <xdr:cNvPr id="4362" name="Flèche vers le bas 436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66</xdr:row>
      <xdr:rowOff>313765</xdr:rowOff>
    </xdr:from>
    <xdr:to>
      <xdr:col>0</xdr:col>
      <xdr:colOff>1165413</xdr:colOff>
      <xdr:row>67</xdr:row>
      <xdr:rowOff>44824</xdr:rowOff>
    </xdr:to>
    <xdr:sp macro="" textlink="">
      <xdr:nvSpPr>
        <xdr:cNvPr id="4363" name="Flèche vers le bas 436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66</xdr:row>
      <xdr:rowOff>313765</xdr:rowOff>
    </xdr:from>
    <xdr:to>
      <xdr:col>0</xdr:col>
      <xdr:colOff>1165413</xdr:colOff>
      <xdr:row>67</xdr:row>
      <xdr:rowOff>44824</xdr:rowOff>
    </xdr:to>
    <xdr:sp macro="" textlink="">
      <xdr:nvSpPr>
        <xdr:cNvPr id="4364" name="Flèche vers le bas 436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66</xdr:row>
      <xdr:rowOff>313765</xdr:rowOff>
    </xdr:from>
    <xdr:to>
      <xdr:col>0</xdr:col>
      <xdr:colOff>1165413</xdr:colOff>
      <xdr:row>67</xdr:row>
      <xdr:rowOff>44824</xdr:rowOff>
    </xdr:to>
    <xdr:sp macro="" textlink="">
      <xdr:nvSpPr>
        <xdr:cNvPr id="4365" name="Flèche vers le bas 436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66</xdr:row>
      <xdr:rowOff>313765</xdr:rowOff>
    </xdr:from>
    <xdr:to>
      <xdr:col>0</xdr:col>
      <xdr:colOff>1165413</xdr:colOff>
      <xdr:row>67</xdr:row>
      <xdr:rowOff>44824</xdr:rowOff>
    </xdr:to>
    <xdr:sp macro="" textlink="">
      <xdr:nvSpPr>
        <xdr:cNvPr id="4366" name="Flèche vers le bas 436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66</xdr:row>
      <xdr:rowOff>313765</xdr:rowOff>
    </xdr:from>
    <xdr:to>
      <xdr:col>0</xdr:col>
      <xdr:colOff>1165413</xdr:colOff>
      <xdr:row>67</xdr:row>
      <xdr:rowOff>44824</xdr:rowOff>
    </xdr:to>
    <xdr:sp macro="" textlink="">
      <xdr:nvSpPr>
        <xdr:cNvPr id="4367" name="Flèche vers le bas 436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66</xdr:row>
      <xdr:rowOff>313765</xdr:rowOff>
    </xdr:from>
    <xdr:to>
      <xdr:col>0</xdr:col>
      <xdr:colOff>1165413</xdr:colOff>
      <xdr:row>67</xdr:row>
      <xdr:rowOff>44824</xdr:rowOff>
    </xdr:to>
    <xdr:sp macro="" textlink="">
      <xdr:nvSpPr>
        <xdr:cNvPr id="4368" name="Flèche vers le bas 436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67</xdr:row>
      <xdr:rowOff>313765</xdr:rowOff>
    </xdr:from>
    <xdr:to>
      <xdr:col>0</xdr:col>
      <xdr:colOff>1165413</xdr:colOff>
      <xdr:row>68</xdr:row>
      <xdr:rowOff>44824</xdr:rowOff>
    </xdr:to>
    <xdr:sp macro="" textlink="">
      <xdr:nvSpPr>
        <xdr:cNvPr id="4369" name="Flèche vers le bas 436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67</xdr:row>
      <xdr:rowOff>313765</xdr:rowOff>
    </xdr:from>
    <xdr:to>
      <xdr:col>0</xdr:col>
      <xdr:colOff>1165413</xdr:colOff>
      <xdr:row>68</xdr:row>
      <xdr:rowOff>44824</xdr:rowOff>
    </xdr:to>
    <xdr:sp macro="" textlink="">
      <xdr:nvSpPr>
        <xdr:cNvPr id="4370" name="Flèche vers le bas 436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67</xdr:row>
      <xdr:rowOff>313765</xdr:rowOff>
    </xdr:from>
    <xdr:to>
      <xdr:col>0</xdr:col>
      <xdr:colOff>1165413</xdr:colOff>
      <xdr:row>68</xdr:row>
      <xdr:rowOff>44824</xdr:rowOff>
    </xdr:to>
    <xdr:sp macro="" textlink="">
      <xdr:nvSpPr>
        <xdr:cNvPr id="4371" name="Flèche vers le bas 437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67</xdr:row>
      <xdr:rowOff>313765</xdr:rowOff>
    </xdr:from>
    <xdr:to>
      <xdr:col>0</xdr:col>
      <xdr:colOff>1165413</xdr:colOff>
      <xdr:row>68</xdr:row>
      <xdr:rowOff>44824</xdr:rowOff>
    </xdr:to>
    <xdr:sp macro="" textlink="">
      <xdr:nvSpPr>
        <xdr:cNvPr id="4372" name="Flèche vers le bas 437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67</xdr:row>
      <xdr:rowOff>313765</xdr:rowOff>
    </xdr:from>
    <xdr:to>
      <xdr:col>0</xdr:col>
      <xdr:colOff>1165413</xdr:colOff>
      <xdr:row>68</xdr:row>
      <xdr:rowOff>44824</xdr:rowOff>
    </xdr:to>
    <xdr:sp macro="" textlink="">
      <xdr:nvSpPr>
        <xdr:cNvPr id="4373" name="Flèche vers le bas 437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67</xdr:row>
      <xdr:rowOff>313765</xdr:rowOff>
    </xdr:from>
    <xdr:to>
      <xdr:col>0</xdr:col>
      <xdr:colOff>1165413</xdr:colOff>
      <xdr:row>68</xdr:row>
      <xdr:rowOff>44824</xdr:rowOff>
    </xdr:to>
    <xdr:sp macro="" textlink="">
      <xdr:nvSpPr>
        <xdr:cNvPr id="4374" name="Flèche vers le bas 437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67</xdr:row>
      <xdr:rowOff>313765</xdr:rowOff>
    </xdr:from>
    <xdr:to>
      <xdr:col>0</xdr:col>
      <xdr:colOff>1165413</xdr:colOff>
      <xdr:row>68</xdr:row>
      <xdr:rowOff>44824</xdr:rowOff>
    </xdr:to>
    <xdr:sp macro="" textlink="">
      <xdr:nvSpPr>
        <xdr:cNvPr id="4375" name="Flèche vers le bas 437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67</xdr:row>
      <xdr:rowOff>313765</xdr:rowOff>
    </xdr:from>
    <xdr:to>
      <xdr:col>0</xdr:col>
      <xdr:colOff>1165413</xdr:colOff>
      <xdr:row>68</xdr:row>
      <xdr:rowOff>44824</xdr:rowOff>
    </xdr:to>
    <xdr:sp macro="" textlink="">
      <xdr:nvSpPr>
        <xdr:cNvPr id="4376" name="Flèche vers le bas 437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67</xdr:row>
      <xdr:rowOff>313765</xdr:rowOff>
    </xdr:from>
    <xdr:to>
      <xdr:col>0</xdr:col>
      <xdr:colOff>1165413</xdr:colOff>
      <xdr:row>68</xdr:row>
      <xdr:rowOff>44824</xdr:rowOff>
    </xdr:to>
    <xdr:sp macro="" textlink="">
      <xdr:nvSpPr>
        <xdr:cNvPr id="4377" name="Flèche vers le bas 437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68</xdr:row>
      <xdr:rowOff>313765</xdr:rowOff>
    </xdr:from>
    <xdr:to>
      <xdr:col>0</xdr:col>
      <xdr:colOff>1165413</xdr:colOff>
      <xdr:row>69</xdr:row>
      <xdr:rowOff>44824</xdr:rowOff>
    </xdr:to>
    <xdr:sp macro="" textlink="">
      <xdr:nvSpPr>
        <xdr:cNvPr id="4378" name="Flèche vers le bas 437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68</xdr:row>
      <xdr:rowOff>313765</xdr:rowOff>
    </xdr:from>
    <xdr:to>
      <xdr:col>0</xdr:col>
      <xdr:colOff>1165413</xdr:colOff>
      <xdr:row>69</xdr:row>
      <xdr:rowOff>44824</xdr:rowOff>
    </xdr:to>
    <xdr:sp macro="" textlink="">
      <xdr:nvSpPr>
        <xdr:cNvPr id="4379" name="Flèche vers le bas 437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68</xdr:row>
      <xdr:rowOff>313765</xdr:rowOff>
    </xdr:from>
    <xdr:to>
      <xdr:col>0</xdr:col>
      <xdr:colOff>1165413</xdr:colOff>
      <xdr:row>69</xdr:row>
      <xdr:rowOff>44824</xdr:rowOff>
    </xdr:to>
    <xdr:sp macro="" textlink="">
      <xdr:nvSpPr>
        <xdr:cNvPr id="4380" name="Flèche vers le bas 437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68</xdr:row>
      <xdr:rowOff>313765</xdr:rowOff>
    </xdr:from>
    <xdr:to>
      <xdr:col>0</xdr:col>
      <xdr:colOff>1165413</xdr:colOff>
      <xdr:row>69</xdr:row>
      <xdr:rowOff>44824</xdr:rowOff>
    </xdr:to>
    <xdr:sp macro="" textlink="">
      <xdr:nvSpPr>
        <xdr:cNvPr id="4381" name="Flèche vers le bas 438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68</xdr:row>
      <xdr:rowOff>313765</xdr:rowOff>
    </xdr:from>
    <xdr:to>
      <xdr:col>0</xdr:col>
      <xdr:colOff>1165413</xdr:colOff>
      <xdr:row>69</xdr:row>
      <xdr:rowOff>44824</xdr:rowOff>
    </xdr:to>
    <xdr:sp macro="" textlink="">
      <xdr:nvSpPr>
        <xdr:cNvPr id="4382" name="Flèche vers le bas 438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68</xdr:row>
      <xdr:rowOff>313765</xdr:rowOff>
    </xdr:from>
    <xdr:to>
      <xdr:col>0</xdr:col>
      <xdr:colOff>1165413</xdr:colOff>
      <xdr:row>69</xdr:row>
      <xdr:rowOff>44824</xdr:rowOff>
    </xdr:to>
    <xdr:sp macro="" textlink="">
      <xdr:nvSpPr>
        <xdr:cNvPr id="4383" name="Flèche vers le bas 438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68</xdr:row>
      <xdr:rowOff>313765</xdr:rowOff>
    </xdr:from>
    <xdr:to>
      <xdr:col>0</xdr:col>
      <xdr:colOff>1165413</xdr:colOff>
      <xdr:row>69</xdr:row>
      <xdr:rowOff>44824</xdr:rowOff>
    </xdr:to>
    <xdr:sp macro="" textlink="">
      <xdr:nvSpPr>
        <xdr:cNvPr id="4384" name="Flèche vers le bas 438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68</xdr:row>
      <xdr:rowOff>313765</xdr:rowOff>
    </xdr:from>
    <xdr:to>
      <xdr:col>0</xdr:col>
      <xdr:colOff>1165413</xdr:colOff>
      <xdr:row>69</xdr:row>
      <xdr:rowOff>44824</xdr:rowOff>
    </xdr:to>
    <xdr:sp macro="" textlink="">
      <xdr:nvSpPr>
        <xdr:cNvPr id="4385" name="Flèche vers le bas 438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68</xdr:row>
      <xdr:rowOff>313765</xdr:rowOff>
    </xdr:from>
    <xdr:to>
      <xdr:col>0</xdr:col>
      <xdr:colOff>1165413</xdr:colOff>
      <xdr:row>69</xdr:row>
      <xdr:rowOff>44824</xdr:rowOff>
    </xdr:to>
    <xdr:sp macro="" textlink="">
      <xdr:nvSpPr>
        <xdr:cNvPr id="4386" name="Flèche vers le bas 438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69</xdr:row>
      <xdr:rowOff>313765</xdr:rowOff>
    </xdr:from>
    <xdr:to>
      <xdr:col>0</xdr:col>
      <xdr:colOff>1165413</xdr:colOff>
      <xdr:row>70</xdr:row>
      <xdr:rowOff>44824</xdr:rowOff>
    </xdr:to>
    <xdr:sp macro="" textlink="">
      <xdr:nvSpPr>
        <xdr:cNvPr id="4387" name="Flèche vers le bas 438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69</xdr:row>
      <xdr:rowOff>313765</xdr:rowOff>
    </xdr:from>
    <xdr:to>
      <xdr:col>0</xdr:col>
      <xdr:colOff>1165413</xdr:colOff>
      <xdr:row>70</xdr:row>
      <xdr:rowOff>44824</xdr:rowOff>
    </xdr:to>
    <xdr:sp macro="" textlink="">
      <xdr:nvSpPr>
        <xdr:cNvPr id="4388" name="Flèche vers le bas 438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69</xdr:row>
      <xdr:rowOff>313765</xdr:rowOff>
    </xdr:from>
    <xdr:to>
      <xdr:col>0</xdr:col>
      <xdr:colOff>1165413</xdr:colOff>
      <xdr:row>70</xdr:row>
      <xdr:rowOff>44824</xdr:rowOff>
    </xdr:to>
    <xdr:sp macro="" textlink="">
      <xdr:nvSpPr>
        <xdr:cNvPr id="4389" name="Flèche vers le bas 438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69</xdr:row>
      <xdr:rowOff>313765</xdr:rowOff>
    </xdr:from>
    <xdr:to>
      <xdr:col>0</xdr:col>
      <xdr:colOff>1165413</xdr:colOff>
      <xdr:row>70</xdr:row>
      <xdr:rowOff>44824</xdr:rowOff>
    </xdr:to>
    <xdr:sp macro="" textlink="">
      <xdr:nvSpPr>
        <xdr:cNvPr id="4390" name="Flèche vers le bas 438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69</xdr:row>
      <xdr:rowOff>313765</xdr:rowOff>
    </xdr:from>
    <xdr:to>
      <xdr:col>0</xdr:col>
      <xdr:colOff>1165413</xdr:colOff>
      <xdr:row>70</xdr:row>
      <xdr:rowOff>44824</xdr:rowOff>
    </xdr:to>
    <xdr:sp macro="" textlink="">
      <xdr:nvSpPr>
        <xdr:cNvPr id="4391" name="Flèche vers le bas 439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69</xdr:row>
      <xdr:rowOff>313765</xdr:rowOff>
    </xdr:from>
    <xdr:to>
      <xdr:col>0</xdr:col>
      <xdr:colOff>1165413</xdr:colOff>
      <xdr:row>70</xdr:row>
      <xdr:rowOff>44824</xdr:rowOff>
    </xdr:to>
    <xdr:sp macro="" textlink="">
      <xdr:nvSpPr>
        <xdr:cNvPr id="4392" name="Flèche vers le bas 439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69</xdr:row>
      <xdr:rowOff>313765</xdr:rowOff>
    </xdr:from>
    <xdr:to>
      <xdr:col>0</xdr:col>
      <xdr:colOff>1165413</xdr:colOff>
      <xdr:row>70</xdr:row>
      <xdr:rowOff>44824</xdr:rowOff>
    </xdr:to>
    <xdr:sp macro="" textlink="">
      <xdr:nvSpPr>
        <xdr:cNvPr id="4393" name="Flèche vers le bas 439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69</xdr:row>
      <xdr:rowOff>313765</xdr:rowOff>
    </xdr:from>
    <xdr:to>
      <xdr:col>0</xdr:col>
      <xdr:colOff>1165413</xdr:colOff>
      <xdr:row>70</xdr:row>
      <xdr:rowOff>44824</xdr:rowOff>
    </xdr:to>
    <xdr:sp macro="" textlink="">
      <xdr:nvSpPr>
        <xdr:cNvPr id="4394" name="Flèche vers le bas 439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69</xdr:row>
      <xdr:rowOff>313765</xdr:rowOff>
    </xdr:from>
    <xdr:to>
      <xdr:col>0</xdr:col>
      <xdr:colOff>1165413</xdr:colOff>
      <xdr:row>70</xdr:row>
      <xdr:rowOff>44824</xdr:rowOff>
    </xdr:to>
    <xdr:sp macro="" textlink="">
      <xdr:nvSpPr>
        <xdr:cNvPr id="4395" name="Flèche vers le bas 439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70</xdr:row>
      <xdr:rowOff>313765</xdr:rowOff>
    </xdr:from>
    <xdr:to>
      <xdr:col>0</xdr:col>
      <xdr:colOff>1165413</xdr:colOff>
      <xdr:row>71</xdr:row>
      <xdr:rowOff>44824</xdr:rowOff>
    </xdr:to>
    <xdr:sp macro="" textlink="">
      <xdr:nvSpPr>
        <xdr:cNvPr id="4396" name="Flèche vers le bas 439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70</xdr:row>
      <xdr:rowOff>313765</xdr:rowOff>
    </xdr:from>
    <xdr:to>
      <xdr:col>0</xdr:col>
      <xdr:colOff>1165413</xdr:colOff>
      <xdr:row>71</xdr:row>
      <xdr:rowOff>44824</xdr:rowOff>
    </xdr:to>
    <xdr:sp macro="" textlink="">
      <xdr:nvSpPr>
        <xdr:cNvPr id="4397" name="Flèche vers le bas 439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70</xdr:row>
      <xdr:rowOff>313765</xdr:rowOff>
    </xdr:from>
    <xdr:to>
      <xdr:col>0</xdr:col>
      <xdr:colOff>1165413</xdr:colOff>
      <xdr:row>71</xdr:row>
      <xdr:rowOff>44824</xdr:rowOff>
    </xdr:to>
    <xdr:sp macro="" textlink="">
      <xdr:nvSpPr>
        <xdr:cNvPr id="4398" name="Flèche vers le bas 439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70</xdr:row>
      <xdr:rowOff>313765</xdr:rowOff>
    </xdr:from>
    <xdr:to>
      <xdr:col>0</xdr:col>
      <xdr:colOff>1165413</xdr:colOff>
      <xdr:row>71</xdr:row>
      <xdr:rowOff>44824</xdr:rowOff>
    </xdr:to>
    <xdr:sp macro="" textlink="">
      <xdr:nvSpPr>
        <xdr:cNvPr id="4399" name="Flèche vers le bas 439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70</xdr:row>
      <xdr:rowOff>313765</xdr:rowOff>
    </xdr:from>
    <xdr:to>
      <xdr:col>0</xdr:col>
      <xdr:colOff>1165413</xdr:colOff>
      <xdr:row>71</xdr:row>
      <xdr:rowOff>44824</xdr:rowOff>
    </xdr:to>
    <xdr:sp macro="" textlink="">
      <xdr:nvSpPr>
        <xdr:cNvPr id="4400" name="Flèche vers le bas 439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70</xdr:row>
      <xdr:rowOff>313765</xdr:rowOff>
    </xdr:from>
    <xdr:to>
      <xdr:col>0</xdr:col>
      <xdr:colOff>1165413</xdr:colOff>
      <xdr:row>71</xdr:row>
      <xdr:rowOff>44824</xdr:rowOff>
    </xdr:to>
    <xdr:sp macro="" textlink="">
      <xdr:nvSpPr>
        <xdr:cNvPr id="4401" name="Flèche vers le bas 440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70</xdr:row>
      <xdr:rowOff>313765</xdr:rowOff>
    </xdr:from>
    <xdr:to>
      <xdr:col>0</xdr:col>
      <xdr:colOff>1165413</xdr:colOff>
      <xdr:row>71</xdr:row>
      <xdr:rowOff>44824</xdr:rowOff>
    </xdr:to>
    <xdr:sp macro="" textlink="">
      <xdr:nvSpPr>
        <xdr:cNvPr id="4402" name="Flèche vers le bas 440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70</xdr:row>
      <xdr:rowOff>313765</xdr:rowOff>
    </xdr:from>
    <xdr:to>
      <xdr:col>0</xdr:col>
      <xdr:colOff>1165413</xdr:colOff>
      <xdr:row>71</xdr:row>
      <xdr:rowOff>44824</xdr:rowOff>
    </xdr:to>
    <xdr:sp macro="" textlink="">
      <xdr:nvSpPr>
        <xdr:cNvPr id="4403" name="Flèche vers le bas 440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70</xdr:row>
      <xdr:rowOff>313765</xdr:rowOff>
    </xdr:from>
    <xdr:to>
      <xdr:col>0</xdr:col>
      <xdr:colOff>1165413</xdr:colOff>
      <xdr:row>71</xdr:row>
      <xdr:rowOff>44824</xdr:rowOff>
    </xdr:to>
    <xdr:sp macro="" textlink="">
      <xdr:nvSpPr>
        <xdr:cNvPr id="4404" name="Flèche vers le bas 440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71</xdr:row>
      <xdr:rowOff>313765</xdr:rowOff>
    </xdr:from>
    <xdr:to>
      <xdr:col>0</xdr:col>
      <xdr:colOff>1165413</xdr:colOff>
      <xdr:row>72</xdr:row>
      <xdr:rowOff>44824</xdr:rowOff>
    </xdr:to>
    <xdr:sp macro="" textlink="">
      <xdr:nvSpPr>
        <xdr:cNvPr id="4405" name="Flèche vers le bas 440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71</xdr:row>
      <xdr:rowOff>313765</xdr:rowOff>
    </xdr:from>
    <xdr:to>
      <xdr:col>0</xdr:col>
      <xdr:colOff>1165413</xdr:colOff>
      <xdr:row>72</xdr:row>
      <xdr:rowOff>44824</xdr:rowOff>
    </xdr:to>
    <xdr:sp macro="" textlink="">
      <xdr:nvSpPr>
        <xdr:cNvPr id="4406" name="Flèche vers le bas 440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71</xdr:row>
      <xdr:rowOff>313765</xdr:rowOff>
    </xdr:from>
    <xdr:to>
      <xdr:col>0</xdr:col>
      <xdr:colOff>1165413</xdr:colOff>
      <xdr:row>72</xdr:row>
      <xdr:rowOff>44824</xdr:rowOff>
    </xdr:to>
    <xdr:sp macro="" textlink="">
      <xdr:nvSpPr>
        <xdr:cNvPr id="4407" name="Flèche vers le bas 440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71</xdr:row>
      <xdr:rowOff>313765</xdr:rowOff>
    </xdr:from>
    <xdr:to>
      <xdr:col>0</xdr:col>
      <xdr:colOff>1165413</xdr:colOff>
      <xdr:row>72</xdr:row>
      <xdr:rowOff>44824</xdr:rowOff>
    </xdr:to>
    <xdr:sp macro="" textlink="">
      <xdr:nvSpPr>
        <xdr:cNvPr id="4408" name="Flèche vers le bas 440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71</xdr:row>
      <xdr:rowOff>313765</xdr:rowOff>
    </xdr:from>
    <xdr:to>
      <xdr:col>0</xdr:col>
      <xdr:colOff>1165413</xdr:colOff>
      <xdr:row>72</xdr:row>
      <xdr:rowOff>44824</xdr:rowOff>
    </xdr:to>
    <xdr:sp macro="" textlink="">
      <xdr:nvSpPr>
        <xdr:cNvPr id="4409" name="Flèche vers le bas 440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71</xdr:row>
      <xdr:rowOff>313765</xdr:rowOff>
    </xdr:from>
    <xdr:to>
      <xdr:col>0</xdr:col>
      <xdr:colOff>1165413</xdr:colOff>
      <xdr:row>72</xdr:row>
      <xdr:rowOff>44824</xdr:rowOff>
    </xdr:to>
    <xdr:sp macro="" textlink="">
      <xdr:nvSpPr>
        <xdr:cNvPr id="4410" name="Flèche vers le bas 440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71</xdr:row>
      <xdr:rowOff>313765</xdr:rowOff>
    </xdr:from>
    <xdr:to>
      <xdr:col>0</xdr:col>
      <xdr:colOff>1165413</xdr:colOff>
      <xdr:row>72</xdr:row>
      <xdr:rowOff>44824</xdr:rowOff>
    </xdr:to>
    <xdr:sp macro="" textlink="">
      <xdr:nvSpPr>
        <xdr:cNvPr id="4411" name="Flèche vers le bas 441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71</xdr:row>
      <xdr:rowOff>313765</xdr:rowOff>
    </xdr:from>
    <xdr:to>
      <xdr:col>0</xdr:col>
      <xdr:colOff>1165413</xdr:colOff>
      <xdr:row>72</xdr:row>
      <xdr:rowOff>44824</xdr:rowOff>
    </xdr:to>
    <xdr:sp macro="" textlink="">
      <xdr:nvSpPr>
        <xdr:cNvPr id="4412" name="Flèche vers le bas 441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71</xdr:row>
      <xdr:rowOff>313765</xdr:rowOff>
    </xdr:from>
    <xdr:to>
      <xdr:col>0</xdr:col>
      <xdr:colOff>1165413</xdr:colOff>
      <xdr:row>72</xdr:row>
      <xdr:rowOff>44824</xdr:rowOff>
    </xdr:to>
    <xdr:sp macro="" textlink="">
      <xdr:nvSpPr>
        <xdr:cNvPr id="4413" name="Flèche vers le bas 441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72</xdr:row>
      <xdr:rowOff>313765</xdr:rowOff>
    </xdr:from>
    <xdr:to>
      <xdr:col>0</xdr:col>
      <xdr:colOff>1165413</xdr:colOff>
      <xdr:row>73</xdr:row>
      <xdr:rowOff>44824</xdr:rowOff>
    </xdr:to>
    <xdr:sp macro="" textlink="">
      <xdr:nvSpPr>
        <xdr:cNvPr id="4414" name="Flèche vers le bas 441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72</xdr:row>
      <xdr:rowOff>313765</xdr:rowOff>
    </xdr:from>
    <xdr:to>
      <xdr:col>0</xdr:col>
      <xdr:colOff>1165413</xdr:colOff>
      <xdr:row>73</xdr:row>
      <xdr:rowOff>44824</xdr:rowOff>
    </xdr:to>
    <xdr:sp macro="" textlink="">
      <xdr:nvSpPr>
        <xdr:cNvPr id="4415" name="Flèche vers le bas 441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72</xdr:row>
      <xdr:rowOff>313765</xdr:rowOff>
    </xdr:from>
    <xdr:to>
      <xdr:col>0</xdr:col>
      <xdr:colOff>1165413</xdr:colOff>
      <xdr:row>73</xdr:row>
      <xdr:rowOff>44824</xdr:rowOff>
    </xdr:to>
    <xdr:sp macro="" textlink="">
      <xdr:nvSpPr>
        <xdr:cNvPr id="4416" name="Flèche vers le bas 441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72</xdr:row>
      <xdr:rowOff>313765</xdr:rowOff>
    </xdr:from>
    <xdr:to>
      <xdr:col>0</xdr:col>
      <xdr:colOff>1165413</xdr:colOff>
      <xdr:row>73</xdr:row>
      <xdr:rowOff>44824</xdr:rowOff>
    </xdr:to>
    <xdr:sp macro="" textlink="">
      <xdr:nvSpPr>
        <xdr:cNvPr id="4417" name="Flèche vers le bas 441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72</xdr:row>
      <xdr:rowOff>313765</xdr:rowOff>
    </xdr:from>
    <xdr:to>
      <xdr:col>0</xdr:col>
      <xdr:colOff>1165413</xdr:colOff>
      <xdr:row>73</xdr:row>
      <xdr:rowOff>44824</xdr:rowOff>
    </xdr:to>
    <xdr:sp macro="" textlink="">
      <xdr:nvSpPr>
        <xdr:cNvPr id="4418" name="Flèche vers le bas 441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72</xdr:row>
      <xdr:rowOff>313765</xdr:rowOff>
    </xdr:from>
    <xdr:to>
      <xdr:col>0</xdr:col>
      <xdr:colOff>1165413</xdr:colOff>
      <xdr:row>73</xdr:row>
      <xdr:rowOff>44824</xdr:rowOff>
    </xdr:to>
    <xdr:sp macro="" textlink="">
      <xdr:nvSpPr>
        <xdr:cNvPr id="4419" name="Flèche vers le bas 441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72</xdr:row>
      <xdr:rowOff>313765</xdr:rowOff>
    </xdr:from>
    <xdr:to>
      <xdr:col>0</xdr:col>
      <xdr:colOff>1165413</xdr:colOff>
      <xdr:row>73</xdr:row>
      <xdr:rowOff>44824</xdr:rowOff>
    </xdr:to>
    <xdr:sp macro="" textlink="">
      <xdr:nvSpPr>
        <xdr:cNvPr id="4420" name="Flèche vers le bas 441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72</xdr:row>
      <xdr:rowOff>313765</xdr:rowOff>
    </xdr:from>
    <xdr:to>
      <xdr:col>0</xdr:col>
      <xdr:colOff>1165413</xdr:colOff>
      <xdr:row>73</xdr:row>
      <xdr:rowOff>44824</xdr:rowOff>
    </xdr:to>
    <xdr:sp macro="" textlink="">
      <xdr:nvSpPr>
        <xdr:cNvPr id="4421" name="Flèche vers le bas 442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72</xdr:row>
      <xdr:rowOff>313765</xdr:rowOff>
    </xdr:from>
    <xdr:to>
      <xdr:col>0</xdr:col>
      <xdr:colOff>1165413</xdr:colOff>
      <xdr:row>73</xdr:row>
      <xdr:rowOff>44824</xdr:rowOff>
    </xdr:to>
    <xdr:sp macro="" textlink="">
      <xdr:nvSpPr>
        <xdr:cNvPr id="4422" name="Flèche vers le bas 442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73</xdr:row>
      <xdr:rowOff>313765</xdr:rowOff>
    </xdr:from>
    <xdr:to>
      <xdr:col>0</xdr:col>
      <xdr:colOff>1165413</xdr:colOff>
      <xdr:row>74</xdr:row>
      <xdr:rowOff>44824</xdr:rowOff>
    </xdr:to>
    <xdr:sp macro="" textlink="">
      <xdr:nvSpPr>
        <xdr:cNvPr id="4423" name="Flèche vers le bas 442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73</xdr:row>
      <xdr:rowOff>313765</xdr:rowOff>
    </xdr:from>
    <xdr:to>
      <xdr:col>0</xdr:col>
      <xdr:colOff>1165413</xdr:colOff>
      <xdr:row>74</xdr:row>
      <xdr:rowOff>44824</xdr:rowOff>
    </xdr:to>
    <xdr:sp macro="" textlink="">
      <xdr:nvSpPr>
        <xdr:cNvPr id="4424" name="Flèche vers le bas 442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73</xdr:row>
      <xdr:rowOff>313765</xdr:rowOff>
    </xdr:from>
    <xdr:to>
      <xdr:col>0</xdr:col>
      <xdr:colOff>1165413</xdr:colOff>
      <xdr:row>74</xdr:row>
      <xdr:rowOff>44824</xdr:rowOff>
    </xdr:to>
    <xdr:sp macro="" textlink="">
      <xdr:nvSpPr>
        <xdr:cNvPr id="4425" name="Flèche vers le bas 442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73</xdr:row>
      <xdr:rowOff>313765</xdr:rowOff>
    </xdr:from>
    <xdr:to>
      <xdr:col>0</xdr:col>
      <xdr:colOff>1165413</xdr:colOff>
      <xdr:row>74</xdr:row>
      <xdr:rowOff>44824</xdr:rowOff>
    </xdr:to>
    <xdr:sp macro="" textlink="">
      <xdr:nvSpPr>
        <xdr:cNvPr id="4426" name="Flèche vers le bas 442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73</xdr:row>
      <xdr:rowOff>313765</xdr:rowOff>
    </xdr:from>
    <xdr:to>
      <xdr:col>0</xdr:col>
      <xdr:colOff>1165413</xdr:colOff>
      <xdr:row>74</xdr:row>
      <xdr:rowOff>44824</xdr:rowOff>
    </xdr:to>
    <xdr:sp macro="" textlink="">
      <xdr:nvSpPr>
        <xdr:cNvPr id="4427" name="Flèche vers le bas 442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73</xdr:row>
      <xdr:rowOff>313765</xdr:rowOff>
    </xdr:from>
    <xdr:to>
      <xdr:col>0</xdr:col>
      <xdr:colOff>1165413</xdr:colOff>
      <xdr:row>74</xdr:row>
      <xdr:rowOff>44824</xdr:rowOff>
    </xdr:to>
    <xdr:sp macro="" textlink="">
      <xdr:nvSpPr>
        <xdr:cNvPr id="4428" name="Flèche vers le bas 442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73</xdr:row>
      <xdr:rowOff>313765</xdr:rowOff>
    </xdr:from>
    <xdr:to>
      <xdr:col>0</xdr:col>
      <xdr:colOff>1165413</xdr:colOff>
      <xdr:row>74</xdr:row>
      <xdr:rowOff>44824</xdr:rowOff>
    </xdr:to>
    <xdr:sp macro="" textlink="">
      <xdr:nvSpPr>
        <xdr:cNvPr id="4429" name="Flèche vers le bas 442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73</xdr:row>
      <xdr:rowOff>313765</xdr:rowOff>
    </xdr:from>
    <xdr:to>
      <xdr:col>0</xdr:col>
      <xdr:colOff>1165413</xdr:colOff>
      <xdr:row>74</xdr:row>
      <xdr:rowOff>44824</xdr:rowOff>
    </xdr:to>
    <xdr:sp macro="" textlink="">
      <xdr:nvSpPr>
        <xdr:cNvPr id="4430" name="Flèche vers le bas 442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73</xdr:row>
      <xdr:rowOff>313765</xdr:rowOff>
    </xdr:from>
    <xdr:to>
      <xdr:col>0</xdr:col>
      <xdr:colOff>1165413</xdr:colOff>
      <xdr:row>74</xdr:row>
      <xdr:rowOff>44824</xdr:rowOff>
    </xdr:to>
    <xdr:sp macro="" textlink="">
      <xdr:nvSpPr>
        <xdr:cNvPr id="4431" name="Flèche vers le bas 443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74</xdr:row>
      <xdr:rowOff>313765</xdr:rowOff>
    </xdr:from>
    <xdr:to>
      <xdr:col>0</xdr:col>
      <xdr:colOff>1165413</xdr:colOff>
      <xdr:row>75</xdr:row>
      <xdr:rowOff>44824</xdr:rowOff>
    </xdr:to>
    <xdr:sp macro="" textlink="">
      <xdr:nvSpPr>
        <xdr:cNvPr id="4432" name="Flèche vers le bas 443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74</xdr:row>
      <xdr:rowOff>313765</xdr:rowOff>
    </xdr:from>
    <xdr:to>
      <xdr:col>0</xdr:col>
      <xdr:colOff>1165413</xdr:colOff>
      <xdr:row>75</xdr:row>
      <xdr:rowOff>44824</xdr:rowOff>
    </xdr:to>
    <xdr:sp macro="" textlink="">
      <xdr:nvSpPr>
        <xdr:cNvPr id="4433" name="Flèche vers le bas 443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74</xdr:row>
      <xdr:rowOff>313765</xdr:rowOff>
    </xdr:from>
    <xdr:to>
      <xdr:col>0</xdr:col>
      <xdr:colOff>1165413</xdr:colOff>
      <xdr:row>75</xdr:row>
      <xdr:rowOff>44824</xdr:rowOff>
    </xdr:to>
    <xdr:sp macro="" textlink="">
      <xdr:nvSpPr>
        <xdr:cNvPr id="4434" name="Flèche vers le bas 443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74</xdr:row>
      <xdr:rowOff>313765</xdr:rowOff>
    </xdr:from>
    <xdr:to>
      <xdr:col>0</xdr:col>
      <xdr:colOff>1165413</xdr:colOff>
      <xdr:row>75</xdr:row>
      <xdr:rowOff>44824</xdr:rowOff>
    </xdr:to>
    <xdr:sp macro="" textlink="">
      <xdr:nvSpPr>
        <xdr:cNvPr id="4435" name="Flèche vers le bas 443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74</xdr:row>
      <xdr:rowOff>313765</xdr:rowOff>
    </xdr:from>
    <xdr:to>
      <xdr:col>0</xdr:col>
      <xdr:colOff>1165413</xdr:colOff>
      <xdr:row>75</xdr:row>
      <xdr:rowOff>44824</xdr:rowOff>
    </xdr:to>
    <xdr:sp macro="" textlink="">
      <xdr:nvSpPr>
        <xdr:cNvPr id="4436" name="Flèche vers le bas 443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74</xdr:row>
      <xdr:rowOff>313765</xdr:rowOff>
    </xdr:from>
    <xdr:to>
      <xdr:col>0</xdr:col>
      <xdr:colOff>1165413</xdr:colOff>
      <xdr:row>75</xdr:row>
      <xdr:rowOff>44824</xdr:rowOff>
    </xdr:to>
    <xdr:sp macro="" textlink="">
      <xdr:nvSpPr>
        <xdr:cNvPr id="4437" name="Flèche vers le bas 443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74</xdr:row>
      <xdr:rowOff>313765</xdr:rowOff>
    </xdr:from>
    <xdr:to>
      <xdr:col>0</xdr:col>
      <xdr:colOff>1165413</xdr:colOff>
      <xdr:row>75</xdr:row>
      <xdr:rowOff>44824</xdr:rowOff>
    </xdr:to>
    <xdr:sp macro="" textlink="">
      <xdr:nvSpPr>
        <xdr:cNvPr id="4438" name="Flèche vers le bas 443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74</xdr:row>
      <xdr:rowOff>313765</xdr:rowOff>
    </xdr:from>
    <xdr:to>
      <xdr:col>0</xdr:col>
      <xdr:colOff>1165413</xdr:colOff>
      <xdr:row>75</xdr:row>
      <xdr:rowOff>44824</xdr:rowOff>
    </xdr:to>
    <xdr:sp macro="" textlink="">
      <xdr:nvSpPr>
        <xdr:cNvPr id="4439" name="Flèche vers le bas 443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74</xdr:row>
      <xdr:rowOff>313765</xdr:rowOff>
    </xdr:from>
    <xdr:to>
      <xdr:col>0</xdr:col>
      <xdr:colOff>1165413</xdr:colOff>
      <xdr:row>75</xdr:row>
      <xdr:rowOff>44824</xdr:rowOff>
    </xdr:to>
    <xdr:sp macro="" textlink="">
      <xdr:nvSpPr>
        <xdr:cNvPr id="4440" name="Flèche vers le bas 443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75</xdr:row>
      <xdr:rowOff>313765</xdr:rowOff>
    </xdr:from>
    <xdr:to>
      <xdr:col>0</xdr:col>
      <xdr:colOff>1165413</xdr:colOff>
      <xdr:row>76</xdr:row>
      <xdr:rowOff>44824</xdr:rowOff>
    </xdr:to>
    <xdr:sp macro="" textlink="">
      <xdr:nvSpPr>
        <xdr:cNvPr id="4441" name="Flèche vers le bas 444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75</xdr:row>
      <xdr:rowOff>313765</xdr:rowOff>
    </xdr:from>
    <xdr:to>
      <xdr:col>0</xdr:col>
      <xdr:colOff>1165413</xdr:colOff>
      <xdr:row>76</xdr:row>
      <xdr:rowOff>44824</xdr:rowOff>
    </xdr:to>
    <xdr:sp macro="" textlink="">
      <xdr:nvSpPr>
        <xdr:cNvPr id="4442" name="Flèche vers le bas 444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75</xdr:row>
      <xdr:rowOff>313765</xdr:rowOff>
    </xdr:from>
    <xdr:to>
      <xdr:col>0</xdr:col>
      <xdr:colOff>1165413</xdr:colOff>
      <xdr:row>76</xdr:row>
      <xdr:rowOff>44824</xdr:rowOff>
    </xdr:to>
    <xdr:sp macro="" textlink="">
      <xdr:nvSpPr>
        <xdr:cNvPr id="4443" name="Flèche vers le bas 444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75</xdr:row>
      <xdr:rowOff>313765</xdr:rowOff>
    </xdr:from>
    <xdr:to>
      <xdr:col>0</xdr:col>
      <xdr:colOff>1165413</xdr:colOff>
      <xdr:row>76</xdr:row>
      <xdr:rowOff>44824</xdr:rowOff>
    </xdr:to>
    <xdr:sp macro="" textlink="">
      <xdr:nvSpPr>
        <xdr:cNvPr id="4444" name="Flèche vers le bas 444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75</xdr:row>
      <xdr:rowOff>313765</xdr:rowOff>
    </xdr:from>
    <xdr:to>
      <xdr:col>0</xdr:col>
      <xdr:colOff>1165413</xdr:colOff>
      <xdr:row>76</xdr:row>
      <xdr:rowOff>44824</xdr:rowOff>
    </xdr:to>
    <xdr:sp macro="" textlink="">
      <xdr:nvSpPr>
        <xdr:cNvPr id="4445" name="Flèche vers le bas 444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75</xdr:row>
      <xdr:rowOff>313765</xdr:rowOff>
    </xdr:from>
    <xdr:to>
      <xdr:col>0</xdr:col>
      <xdr:colOff>1165413</xdr:colOff>
      <xdr:row>76</xdr:row>
      <xdr:rowOff>44824</xdr:rowOff>
    </xdr:to>
    <xdr:sp macro="" textlink="">
      <xdr:nvSpPr>
        <xdr:cNvPr id="4446" name="Flèche vers le bas 444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75</xdr:row>
      <xdr:rowOff>313765</xdr:rowOff>
    </xdr:from>
    <xdr:to>
      <xdr:col>0</xdr:col>
      <xdr:colOff>1165413</xdr:colOff>
      <xdr:row>76</xdr:row>
      <xdr:rowOff>44824</xdr:rowOff>
    </xdr:to>
    <xdr:sp macro="" textlink="">
      <xdr:nvSpPr>
        <xdr:cNvPr id="4447" name="Flèche vers le bas 444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75</xdr:row>
      <xdr:rowOff>313765</xdr:rowOff>
    </xdr:from>
    <xdr:to>
      <xdr:col>0</xdr:col>
      <xdr:colOff>1165413</xdr:colOff>
      <xdr:row>76</xdr:row>
      <xdr:rowOff>44824</xdr:rowOff>
    </xdr:to>
    <xdr:sp macro="" textlink="">
      <xdr:nvSpPr>
        <xdr:cNvPr id="4448" name="Flèche vers le bas 444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75</xdr:row>
      <xdr:rowOff>313765</xdr:rowOff>
    </xdr:from>
    <xdr:to>
      <xdr:col>0</xdr:col>
      <xdr:colOff>1165413</xdr:colOff>
      <xdr:row>76</xdr:row>
      <xdr:rowOff>44824</xdr:rowOff>
    </xdr:to>
    <xdr:sp macro="" textlink="">
      <xdr:nvSpPr>
        <xdr:cNvPr id="4449" name="Flèche vers le bas 444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76</xdr:row>
      <xdr:rowOff>313765</xdr:rowOff>
    </xdr:from>
    <xdr:to>
      <xdr:col>0</xdr:col>
      <xdr:colOff>1165413</xdr:colOff>
      <xdr:row>77</xdr:row>
      <xdr:rowOff>44824</xdr:rowOff>
    </xdr:to>
    <xdr:sp macro="" textlink="">
      <xdr:nvSpPr>
        <xdr:cNvPr id="4450" name="Flèche vers le bas 444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76</xdr:row>
      <xdr:rowOff>313765</xdr:rowOff>
    </xdr:from>
    <xdr:to>
      <xdr:col>0</xdr:col>
      <xdr:colOff>1165413</xdr:colOff>
      <xdr:row>77</xdr:row>
      <xdr:rowOff>44824</xdr:rowOff>
    </xdr:to>
    <xdr:sp macro="" textlink="">
      <xdr:nvSpPr>
        <xdr:cNvPr id="4451" name="Flèche vers le bas 445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76</xdr:row>
      <xdr:rowOff>313765</xdr:rowOff>
    </xdr:from>
    <xdr:to>
      <xdr:col>0</xdr:col>
      <xdr:colOff>1165413</xdr:colOff>
      <xdr:row>77</xdr:row>
      <xdr:rowOff>44824</xdr:rowOff>
    </xdr:to>
    <xdr:sp macro="" textlink="">
      <xdr:nvSpPr>
        <xdr:cNvPr id="4452" name="Flèche vers le bas 445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76</xdr:row>
      <xdr:rowOff>313765</xdr:rowOff>
    </xdr:from>
    <xdr:to>
      <xdr:col>0</xdr:col>
      <xdr:colOff>1165413</xdr:colOff>
      <xdr:row>77</xdr:row>
      <xdr:rowOff>44824</xdr:rowOff>
    </xdr:to>
    <xdr:sp macro="" textlink="">
      <xdr:nvSpPr>
        <xdr:cNvPr id="4453" name="Flèche vers le bas 445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76</xdr:row>
      <xdr:rowOff>313765</xdr:rowOff>
    </xdr:from>
    <xdr:to>
      <xdr:col>0</xdr:col>
      <xdr:colOff>1165413</xdr:colOff>
      <xdr:row>77</xdr:row>
      <xdr:rowOff>44824</xdr:rowOff>
    </xdr:to>
    <xdr:sp macro="" textlink="">
      <xdr:nvSpPr>
        <xdr:cNvPr id="4454" name="Flèche vers le bas 445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76</xdr:row>
      <xdr:rowOff>313765</xdr:rowOff>
    </xdr:from>
    <xdr:to>
      <xdr:col>0</xdr:col>
      <xdr:colOff>1165413</xdr:colOff>
      <xdr:row>77</xdr:row>
      <xdr:rowOff>44824</xdr:rowOff>
    </xdr:to>
    <xdr:sp macro="" textlink="">
      <xdr:nvSpPr>
        <xdr:cNvPr id="4455" name="Flèche vers le bas 445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76</xdr:row>
      <xdr:rowOff>313765</xdr:rowOff>
    </xdr:from>
    <xdr:to>
      <xdr:col>0</xdr:col>
      <xdr:colOff>1165413</xdr:colOff>
      <xdr:row>77</xdr:row>
      <xdr:rowOff>44824</xdr:rowOff>
    </xdr:to>
    <xdr:sp macro="" textlink="">
      <xdr:nvSpPr>
        <xdr:cNvPr id="4456" name="Flèche vers le bas 445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76</xdr:row>
      <xdr:rowOff>313765</xdr:rowOff>
    </xdr:from>
    <xdr:to>
      <xdr:col>0</xdr:col>
      <xdr:colOff>1165413</xdr:colOff>
      <xdr:row>77</xdr:row>
      <xdr:rowOff>44824</xdr:rowOff>
    </xdr:to>
    <xdr:sp macro="" textlink="">
      <xdr:nvSpPr>
        <xdr:cNvPr id="4457" name="Flèche vers le bas 445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76</xdr:row>
      <xdr:rowOff>313765</xdr:rowOff>
    </xdr:from>
    <xdr:to>
      <xdr:col>0</xdr:col>
      <xdr:colOff>1165413</xdr:colOff>
      <xdr:row>77</xdr:row>
      <xdr:rowOff>44824</xdr:rowOff>
    </xdr:to>
    <xdr:sp macro="" textlink="">
      <xdr:nvSpPr>
        <xdr:cNvPr id="4458" name="Flèche vers le bas 445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77</xdr:row>
      <xdr:rowOff>313765</xdr:rowOff>
    </xdr:from>
    <xdr:to>
      <xdr:col>0</xdr:col>
      <xdr:colOff>1165413</xdr:colOff>
      <xdr:row>78</xdr:row>
      <xdr:rowOff>44824</xdr:rowOff>
    </xdr:to>
    <xdr:sp macro="" textlink="">
      <xdr:nvSpPr>
        <xdr:cNvPr id="4459" name="Flèche vers le bas 445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77</xdr:row>
      <xdr:rowOff>313765</xdr:rowOff>
    </xdr:from>
    <xdr:to>
      <xdr:col>0</xdr:col>
      <xdr:colOff>1165413</xdr:colOff>
      <xdr:row>78</xdr:row>
      <xdr:rowOff>44824</xdr:rowOff>
    </xdr:to>
    <xdr:sp macro="" textlink="">
      <xdr:nvSpPr>
        <xdr:cNvPr id="4460" name="Flèche vers le bas 445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77</xdr:row>
      <xdr:rowOff>313765</xdr:rowOff>
    </xdr:from>
    <xdr:to>
      <xdr:col>0</xdr:col>
      <xdr:colOff>1165413</xdr:colOff>
      <xdr:row>78</xdr:row>
      <xdr:rowOff>44824</xdr:rowOff>
    </xdr:to>
    <xdr:sp macro="" textlink="">
      <xdr:nvSpPr>
        <xdr:cNvPr id="4461" name="Flèche vers le bas 446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77</xdr:row>
      <xdr:rowOff>313765</xdr:rowOff>
    </xdr:from>
    <xdr:to>
      <xdr:col>0</xdr:col>
      <xdr:colOff>1165413</xdr:colOff>
      <xdr:row>78</xdr:row>
      <xdr:rowOff>44824</xdr:rowOff>
    </xdr:to>
    <xdr:sp macro="" textlink="">
      <xdr:nvSpPr>
        <xdr:cNvPr id="4462" name="Flèche vers le bas 446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77</xdr:row>
      <xdr:rowOff>313765</xdr:rowOff>
    </xdr:from>
    <xdr:to>
      <xdr:col>0</xdr:col>
      <xdr:colOff>1165413</xdr:colOff>
      <xdr:row>78</xdr:row>
      <xdr:rowOff>44824</xdr:rowOff>
    </xdr:to>
    <xdr:sp macro="" textlink="">
      <xdr:nvSpPr>
        <xdr:cNvPr id="4463" name="Flèche vers le bas 446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77</xdr:row>
      <xdr:rowOff>313765</xdr:rowOff>
    </xdr:from>
    <xdr:to>
      <xdr:col>0</xdr:col>
      <xdr:colOff>1165413</xdr:colOff>
      <xdr:row>78</xdr:row>
      <xdr:rowOff>44824</xdr:rowOff>
    </xdr:to>
    <xdr:sp macro="" textlink="">
      <xdr:nvSpPr>
        <xdr:cNvPr id="4464" name="Flèche vers le bas 446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77</xdr:row>
      <xdr:rowOff>313765</xdr:rowOff>
    </xdr:from>
    <xdr:to>
      <xdr:col>0</xdr:col>
      <xdr:colOff>1165413</xdr:colOff>
      <xdr:row>78</xdr:row>
      <xdr:rowOff>44824</xdr:rowOff>
    </xdr:to>
    <xdr:sp macro="" textlink="">
      <xdr:nvSpPr>
        <xdr:cNvPr id="4465" name="Flèche vers le bas 446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77</xdr:row>
      <xdr:rowOff>313765</xdr:rowOff>
    </xdr:from>
    <xdr:to>
      <xdr:col>0</xdr:col>
      <xdr:colOff>1165413</xdr:colOff>
      <xdr:row>78</xdr:row>
      <xdr:rowOff>44824</xdr:rowOff>
    </xdr:to>
    <xdr:sp macro="" textlink="">
      <xdr:nvSpPr>
        <xdr:cNvPr id="4466" name="Flèche vers le bas 446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77</xdr:row>
      <xdr:rowOff>313765</xdr:rowOff>
    </xdr:from>
    <xdr:to>
      <xdr:col>0</xdr:col>
      <xdr:colOff>1165413</xdr:colOff>
      <xdr:row>78</xdr:row>
      <xdr:rowOff>44824</xdr:rowOff>
    </xdr:to>
    <xdr:sp macro="" textlink="">
      <xdr:nvSpPr>
        <xdr:cNvPr id="4467" name="Flèche vers le bas 446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78</xdr:row>
      <xdr:rowOff>313765</xdr:rowOff>
    </xdr:from>
    <xdr:to>
      <xdr:col>0</xdr:col>
      <xdr:colOff>1165413</xdr:colOff>
      <xdr:row>79</xdr:row>
      <xdr:rowOff>44824</xdr:rowOff>
    </xdr:to>
    <xdr:sp macro="" textlink="">
      <xdr:nvSpPr>
        <xdr:cNvPr id="4468" name="Flèche vers le bas 446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78</xdr:row>
      <xdr:rowOff>313765</xdr:rowOff>
    </xdr:from>
    <xdr:to>
      <xdr:col>0</xdr:col>
      <xdr:colOff>1165413</xdr:colOff>
      <xdr:row>79</xdr:row>
      <xdr:rowOff>44824</xdr:rowOff>
    </xdr:to>
    <xdr:sp macro="" textlink="">
      <xdr:nvSpPr>
        <xdr:cNvPr id="4469" name="Flèche vers le bas 446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78</xdr:row>
      <xdr:rowOff>313765</xdr:rowOff>
    </xdr:from>
    <xdr:to>
      <xdr:col>0</xdr:col>
      <xdr:colOff>1165413</xdr:colOff>
      <xdr:row>79</xdr:row>
      <xdr:rowOff>44824</xdr:rowOff>
    </xdr:to>
    <xdr:sp macro="" textlink="">
      <xdr:nvSpPr>
        <xdr:cNvPr id="4470" name="Flèche vers le bas 446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78</xdr:row>
      <xdr:rowOff>313765</xdr:rowOff>
    </xdr:from>
    <xdr:to>
      <xdr:col>0</xdr:col>
      <xdr:colOff>1165413</xdr:colOff>
      <xdr:row>79</xdr:row>
      <xdr:rowOff>44824</xdr:rowOff>
    </xdr:to>
    <xdr:sp macro="" textlink="">
      <xdr:nvSpPr>
        <xdr:cNvPr id="4471" name="Flèche vers le bas 447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78</xdr:row>
      <xdr:rowOff>313765</xdr:rowOff>
    </xdr:from>
    <xdr:to>
      <xdr:col>0</xdr:col>
      <xdr:colOff>1165413</xdr:colOff>
      <xdr:row>79</xdr:row>
      <xdr:rowOff>44824</xdr:rowOff>
    </xdr:to>
    <xdr:sp macro="" textlink="">
      <xdr:nvSpPr>
        <xdr:cNvPr id="4472" name="Flèche vers le bas 447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78</xdr:row>
      <xdr:rowOff>313765</xdr:rowOff>
    </xdr:from>
    <xdr:to>
      <xdr:col>0</xdr:col>
      <xdr:colOff>1165413</xdr:colOff>
      <xdr:row>79</xdr:row>
      <xdr:rowOff>44824</xdr:rowOff>
    </xdr:to>
    <xdr:sp macro="" textlink="">
      <xdr:nvSpPr>
        <xdr:cNvPr id="4473" name="Flèche vers le bas 447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78</xdr:row>
      <xdr:rowOff>313765</xdr:rowOff>
    </xdr:from>
    <xdr:to>
      <xdr:col>0</xdr:col>
      <xdr:colOff>1165413</xdr:colOff>
      <xdr:row>79</xdr:row>
      <xdr:rowOff>44824</xdr:rowOff>
    </xdr:to>
    <xdr:sp macro="" textlink="">
      <xdr:nvSpPr>
        <xdr:cNvPr id="4474" name="Flèche vers le bas 447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78</xdr:row>
      <xdr:rowOff>313765</xdr:rowOff>
    </xdr:from>
    <xdr:to>
      <xdr:col>0</xdr:col>
      <xdr:colOff>1165413</xdr:colOff>
      <xdr:row>79</xdr:row>
      <xdr:rowOff>44824</xdr:rowOff>
    </xdr:to>
    <xdr:sp macro="" textlink="">
      <xdr:nvSpPr>
        <xdr:cNvPr id="4475" name="Flèche vers le bas 447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78</xdr:row>
      <xdr:rowOff>313765</xdr:rowOff>
    </xdr:from>
    <xdr:to>
      <xdr:col>0</xdr:col>
      <xdr:colOff>1165413</xdr:colOff>
      <xdr:row>79</xdr:row>
      <xdr:rowOff>44824</xdr:rowOff>
    </xdr:to>
    <xdr:sp macro="" textlink="">
      <xdr:nvSpPr>
        <xdr:cNvPr id="4476" name="Flèche vers le bas 447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79</xdr:row>
      <xdr:rowOff>313765</xdr:rowOff>
    </xdr:from>
    <xdr:to>
      <xdr:col>0</xdr:col>
      <xdr:colOff>1165413</xdr:colOff>
      <xdr:row>80</xdr:row>
      <xdr:rowOff>44824</xdr:rowOff>
    </xdr:to>
    <xdr:sp macro="" textlink="">
      <xdr:nvSpPr>
        <xdr:cNvPr id="4477" name="Flèche vers le bas 447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79</xdr:row>
      <xdr:rowOff>313765</xdr:rowOff>
    </xdr:from>
    <xdr:to>
      <xdr:col>0</xdr:col>
      <xdr:colOff>1165413</xdr:colOff>
      <xdr:row>80</xdr:row>
      <xdr:rowOff>44824</xdr:rowOff>
    </xdr:to>
    <xdr:sp macro="" textlink="">
      <xdr:nvSpPr>
        <xdr:cNvPr id="4478" name="Flèche vers le bas 447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79</xdr:row>
      <xdr:rowOff>313765</xdr:rowOff>
    </xdr:from>
    <xdr:to>
      <xdr:col>0</xdr:col>
      <xdr:colOff>1165413</xdr:colOff>
      <xdr:row>80</xdr:row>
      <xdr:rowOff>44824</xdr:rowOff>
    </xdr:to>
    <xdr:sp macro="" textlink="">
      <xdr:nvSpPr>
        <xdr:cNvPr id="4479" name="Flèche vers le bas 447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79</xdr:row>
      <xdr:rowOff>313765</xdr:rowOff>
    </xdr:from>
    <xdr:to>
      <xdr:col>0</xdr:col>
      <xdr:colOff>1165413</xdr:colOff>
      <xdr:row>80</xdr:row>
      <xdr:rowOff>44824</xdr:rowOff>
    </xdr:to>
    <xdr:sp macro="" textlink="">
      <xdr:nvSpPr>
        <xdr:cNvPr id="4480" name="Flèche vers le bas 447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79</xdr:row>
      <xdr:rowOff>313765</xdr:rowOff>
    </xdr:from>
    <xdr:to>
      <xdr:col>0</xdr:col>
      <xdr:colOff>1165413</xdr:colOff>
      <xdr:row>80</xdr:row>
      <xdr:rowOff>44824</xdr:rowOff>
    </xdr:to>
    <xdr:sp macro="" textlink="">
      <xdr:nvSpPr>
        <xdr:cNvPr id="4481" name="Flèche vers le bas 448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79</xdr:row>
      <xdr:rowOff>313765</xdr:rowOff>
    </xdr:from>
    <xdr:to>
      <xdr:col>0</xdr:col>
      <xdr:colOff>1165413</xdr:colOff>
      <xdr:row>80</xdr:row>
      <xdr:rowOff>44824</xdr:rowOff>
    </xdr:to>
    <xdr:sp macro="" textlink="">
      <xdr:nvSpPr>
        <xdr:cNvPr id="4482" name="Flèche vers le bas 448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79</xdr:row>
      <xdr:rowOff>313765</xdr:rowOff>
    </xdr:from>
    <xdr:to>
      <xdr:col>0</xdr:col>
      <xdr:colOff>1165413</xdr:colOff>
      <xdr:row>80</xdr:row>
      <xdr:rowOff>44824</xdr:rowOff>
    </xdr:to>
    <xdr:sp macro="" textlink="">
      <xdr:nvSpPr>
        <xdr:cNvPr id="4483" name="Flèche vers le bas 448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79</xdr:row>
      <xdr:rowOff>313765</xdr:rowOff>
    </xdr:from>
    <xdr:to>
      <xdr:col>0</xdr:col>
      <xdr:colOff>1165413</xdr:colOff>
      <xdr:row>80</xdr:row>
      <xdr:rowOff>44824</xdr:rowOff>
    </xdr:to>
    <xdr:sp macro="" textlink="">
      <xdr:nvSpPr>
        <xdr:cNvPr id="4484" name="Flèche vers le bas 448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79</xdr:row>
      <xdr:rowOff>313765</xdr:rowOff>
    </xdr:from>
    <xdr:to>
      <xdr:col>0</xdr:col>
      <xdr:colOff>1165413</xdr:colOff>
      <xdr:row>80</xdr:row>
      <xdr:rowOff>44824</xdr:rowOff>
    </xdr:to>
    <xdr:sp macro="" textlink="">
      <xdr:nvSpPr>
        <xdr:cNvPr id="4485" name="Flèche vers le bas 448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80</xdr:row>
      <xdr:rowOff>313765</xdr:rowOff>
    </xdr:from>
    <xdr:to>
      <xdr:col>0</xdr:col>
      <xdr:colOff>1165413</xdr:colOff>
      <xdr:row>81</xdr:row>
      <xdr:rowOff>44824</xdr:rowOff>
    </xdr:to>
    <xdr:sp macro="" textlink="">
      <xdr:nvSpPr>
        <xdr:cNvPr id="4486" name="Flèche vers le bas 448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80</xdr:row>
      <xdr:rowOff>313765</xdr:rowOff>
    </xdr:from>
    <xdr:to>
      <xdr:col>0</xdr:col>
      <xdr:colOff>1165413</xdr:colOff>
      <xdr:row>81</xdr:row>
      <xdr:rowOff>44824</xdr:rowOff>
    </xdr:to>
    <xdr:sp macro="" textlink="">
      <xdr:nvSpPr>
        <xdr:cNvPr id="4487" name="Flèche vers le bas 448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80</xdr:row>
      <xdr:rowOff>313765</xdr:rowOff>
    </xdr:from>
    <xdr:to>
      <xdr:col>0</xdr:col>
      <xdr:colOff>1165413</xdr:colOff>
      <xdr:row>81</xdr:row>
      <xdr:rowOff>44824</xdr:rowOff>
    </xdr:to>
    <xdr:sp macro="" textlink="">
      <xdr:nvSpPr>
        <xdr:cNvPr id="4488" name="Flèche vers le bas 448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80</xdr:row>
      <xdr:rowOff>313765</xdr:rowOff>
    </xdr:from>
    <xdr:to>
      <xdr:col>0</xdr:col>
      <xdr:colOff>1165413</xdr:colOff>
      <xdr:row>81</xdr:row>
      <xdr:rowOff>44824</xdr:rowOff>
    </xdr:to>
    <xdr:sp macro="" textlink="">
      <xdr:nvSpPr>
        <xdr:cNvPr id="4489" name="Flèche vers le bas 448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80</xdr:row>
      <xdr:rowOff>313765</xdr:rowOff>
    </xdr:from>
    <xdr:to>
      <xdr:col>0</xdr:col>
      <xdr:colOff>1165413</xdr:colOff>
      <xdr:row>81</xdr:row>
      <xdr:rowOff>44824</xdr:rowOff>
    </xdr:to>
    <xdr:sp macro="" textlink="">
      <xdr:nvSpPr>
        <xdr:cNvPr id="4490" name="Flèche vers le bas 448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80</xdr:row>
      <xdr:rowOff>313765</xdr:rowOff>
    </xdr:from>
    <xdr:to>
      <xdr:col>0</xdr:col>
      <xdr:colOff>1165413</xdr:colOff>
      <xdr:row>81</xdr:row>
      <xdr:rowOff>44824</xdr:rowOff>
    </xdr:to>
    <xdr:sp macro="" textlink="">
      <xdr:nvSpPr>
        <xdr:cNvPr id="4491" name="Flèche vers le bas 449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80</xdr:row>
      <xdr:rowOff>313765</xdr:rowOff>
    </xdr:from>
    <xdr:to>
      <xdr:col>0</xdr:col>
      <xdr:colOff>1165413</xdr:colOff>
      <xdr:row>81</xdr:row>
      <xdr:rowOff>44824</xdr:rowOff>
    </xdr:to>
    <xdr:sp macro="" textlink="">
      <xdr:nvSpPr>
        <xdr:cNvPr id="4492" name="Flèche vers le bas 449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80</xdr:row>
      <xdr:rowOff>313765</xdr:rowOff>
    </xdr:from>
    <xdr:to>
      <xdr:col>0</xdr:col>
      <xdr:colOff>1165413</xdr:colOff>
      <xdr:row>81</xdr:row>
      <xdr:rowOff>44824</xdr:rowOff>
    </xdr:to>
    <xdr:sp macro="" textlink="">
      <xdr:nvSpPr>
        <xdr:cNvPr id="4493" name="Flèche vers le bas 449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80</xdr:row>
      <xdr:rowOff>313765</xdr:rowOff>
    </xdr:from>
    <xdr:to>
      <xdr:col>0</xdr:col>
      <xdr:colOff>1165413</xdr:colOff>
      <xdr:row>81</xdr:row>
      <xdr:rowOff>44824</xdr:rowOff>
    </xdr:to>
    <xdr:sp macro="" textlink="">
      <xdr:nvSpPr>
        <xdr:cNvPr id="4494" name="Flèche vers le bas 449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81</xdr:row>
      <xdr:rowOff>313765</xdr:rowOff>
    </xdr:from>
    <xdr:to>
      <xdr:col>0</xdr:col>
      <xdr:colOff>1165413</xdr:colOff>
      <xdr:row>82</xdr:row>
      <xdr:rowOff>44824</xdr:rowOff>
    </xdr:to>
    <xdr:sp macro="" textlink="">
      <xdr:nvSpPr>
        <xdr:cNvPr id="4495" name="Flèche vers le bas 449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81</xdr:row>
      <xdr:rowOff>313765</xdr:rowOff>
    </xdr:from>
    <xdr:to>
      <xdr:col>0</xdr:col>
      <xdr:colOff>1165413</xdr:colOff>
      <xdr:row>82</xdr:row>
      <xdr:rowOff>44824</xdr:rowOff>
    </xdr:to>
    <xdr:sp macro="" textlink="">
      <xdr:nvSpPr>
        <xdr:cNvPr id="4496" name="Flèche vers le bas 449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81</xdr:row>
      <xdr:rowOff>313765</xdr:rowOff>
    </xdr:from>
    <xdr:to>
      <xdr:col>0</xdr:col>
      <xdr:colOff>1165413</xdr:colOff>
      <xdr:row>82</xdr:row>
      <xdr:rowOff>44824</xdr:rowOff>
    </xdr:to>
    <xdr:sp macro="" textlink="">
      <xdr:nvSpPr>
        <xdr:cNvPr id="4497" name="Flèche vers le bas 449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81</xdr:row>
      <xdr:rowOff>313765</xdr:rowOff>
    </xdr:from>
    <xdr:to>
      <xdr:col>0</xdr:col>
      <xdr:colOff>1165413</xdr:colOff>
      <xdr:row>82</xdr:row>
      <xdr:rowOff>44824</xdr:rowOff>
    </xdr:to>
    <xdr:sp macro="" textlink="">
      <xdr:nvSpPr>
        <xdr:cNvPr id="4498" name="Flèche vers le bas 449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81</xdr:row>
      <xdr:rowOff>313765</xdr:rowOff>
    </xdr:from>
    <xdr:to>
      <xdr:col>0</xdr:col>
      <xdr:colOff>1165413</xdr:colOff>
      <xdr:row>82</xdr:row>
      <xdr:rowOff>44824</xdr:rowOff>
    </xdr:to>
    <xdr:sp macro="" textlink="">
      <xdr:nvSpPr>
        <xdr:cNvPr id="4499" name="Flèche vers le bas 449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81</xdr:row>
      <xdr:rowOff>313765</xdr:rowOff>
    </xdr:from>
    <xdr:to>
      <xdr:col>0</xdr:col>
      <xdr:colOff>1165413</xdr:colOff>
      <xdr:row>82</xdr:row>
      <xdr:rowOff>44824</xdr:rowOff>
    </xdr:to>
    <xdr:sp macro="" textlink="">
      <xdr:nvSpPr>
        <xdr:cNvPr id="4500" name="Flèche vers le bas 449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81</xdr:row>
      <xdr:rowOff>313765</xdr:rowOff>
    </xdr:from>
    <xdr:to>
      <xdr:col>0</xdr:col>
      <xdr:colOff>1165413</xdr:colOff>
      <xdr:row>82</xdr:row>
      <xdr:rowOff>44824</xdr:rowOff>
    </xdr:to>
    <xdr:sp macro="" textlink="">
      <xdr:nvSpPr>
        <xdr:cNvPr id="4501" name="Flèche vers le bas 450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81</xdr:row>
      <xdr:rowOff>313765</xdr:rowOff>
    </xdr:from>
    <xdr:to>
      <xdr:col>0</xdr:col>
      <xdr:colOff>1165413</xdr:colOff>
      <xdr:row>82</xdr:row>
      <xdr:rowOff>44824</xdr:rowOff>
    </xdr:to>
    <xdr:sp macro="" textlink="">
      <xdr:nvSpPr>
        <xdr:cNvPr id="4502" name="Flèche vers le bas 450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81</xdr:row>
      <xdr:rowOff>313765</xdr:rowOff>
    </xdr:from>
    <xdr:to>
      <xdr:col>0</xdr:col>
      <xdr:colOff>1165413</xdr:colOff>
      <xdr:row>82</xdr:row>
      <xdr:rowOff>44824</xdr:rowOff>
    </xdr:to>
    <xdr:sp macro="" textlink="">
      <xdr:nvSpPr>
        <xdr:cNvPr id="4503" name="Flèche vers le bas 450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82</xdr:row>
      <xdr:rowOff>313765</xdr:rowOff>
    </xdr:from>
    <xdr:to>
      <xdr:col>0</xdr:col>
      <xdr:colOff>1165413</xdr:colOff>
      <xdr:row>83</xdr:row>
      <xdr:rowOff>44824</xdr:rowOff>
    </xdr:to>
    <xdr:sp macro="" textlink="">
      <xdr:nvSpPr>
        <xdr:cNvPr id="4504" name="Flèche vers le bas 450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82</xdr:row>
      <xdr:rowOff>313765</xdr:rowOff>
    </xdr:from>
    <xdr:to>
      <xdr:col>0</xdr:col>
      <xdr:colOff>1165413</xdr:colOff>
      <xdr:row>83</xdr:row>
      <xdr:rowOff>44824</xdr:rowOff>
    </xdr:to>
    <xdr:sp macro="" textlink="">
      <xdr:nvSpPr>
        <xdr:cNvPr id="4505" name="Flèche vers le bas 450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82</xdr:row>
      <xdr:rowOff>313765</xdr:rowOff>
    </xdr:from>
    <xdr:to>
      <xdr:col>0</xdr:col>
      <xdr:colOff>1165413</xdr:colOff>
      <xdr:row>83</xdr:row>
      <xdr:rowOff>44824</xdr:rowOff>
    </xdr:to>
    <xdr:sp macro="" textlink="">
      <xdr:nvSpPr>
        <xdr:cNvPr id="4506" name="Flèche vers le bas 450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82</xdr:row>
      <xdr:rowOff>313765</xdr:rowOff>
    </xdr:from>
    <xdr:to>
      <xdr:col>0</xdr:col>
      <xdr:colOff>1165413</xdr:colOff>
      <xdr:row>83</xdr:row>
      <xdr:rowOff>44824</xdr:rowOff>
    </xdr:to>
    <xdr:sp macro="" textlink="">
      <xdr:nvSpPr>
        <xdr:cNvPr id="4507" name="Flèche vers le bas 450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82</xdr:row>
      <xdr:rowOff>313765</xdr:rowOff>
    </xdr:from>
    <xdr:to>
      <xdr:col>0</xdr:col>
      <xdr:colOff>1165413</xdr:colOff>
      <xdr:row>83</xdr:row>
      <xdr:rowOff>44824</xdr:rowOff>
    </xdr:to>
    <xdr:sp macro="" textlink="">
      <xdr:nvSpPr>
        <xdr:cNvPr id="4508" name="Flèche vers le bas 450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82</xdr:row>
      <xdr:rowOff>313765</xdr:rowOff>
    </xdr:from>
    <xdr:to>
      <xdr:col>0</xdr:col>
      <xdr:colOff>1165413</xdr:colOff>
      <xdr:row>83</xdr:row>
      <xdr:rowOff>44824</xdr:rowOff>
    </xdr:to>
    <xdr:sp macro="" textlink="">
      <xdr:nvSpPr>
        <xdr:cNvPr id="4509" name="Flèche vers le bas 450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82</xdr:row>
      <xdr:rowOff>313765</xdr:rowOff>
    </xdr:from>
    <xdr:to>
      <xdr:col>0</xdr:col>
      <xdr:colOff>1165413</xdr:colOff>
      <xdr:row>83</xdr:row>
      <xdr:rowOff>44824</xdr:rowOff>
    </xdr:to>
    <xdr:sp macro="" textlink="">
      <xdr:nvSpPr>
        <xdr:cNvPr id="4510" name="Flèche vers le bas 450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82</xdr:row>
      <xdr:rowOff>313765</xdr:rowOff>
    </xdr:from>
    <xdr:to>
      <xdr:col>0</xdr:col>
      <xdr:colOff>1165413</xdr:colOff>
      <xdr:row>83</xdr:row>
      <xdr:rowOff>44824</xdr:rowOff>
    </xdr:to>
    <xdr:sp macro="" textlink="">
      <xdr:nvSpPr>
        <xdr:cNvPr id="4511" name="Flèche vers le bas 451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82</xdr:row>
      <xdr:rowOff>313765</xdr:rowOff>
    </xdr:from>
    <xdr:to>
      <xdr:col>0</xdr:col>
      <xdr:colOff>1165413</xdr:colOff>
      <xdr:row>83</xdr:row>
      <xdr:rowOff>44824</xdr:rowOff>
    </xdr:to>
    <xdr:sp macro="" textlink="">
      <xdr:nvSpPr>
        <xdr:cNvPr id="4512" name="Flèche vers le bas 451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83</xdr:row>
      <xdr:rowOff>313765</xdr:rowOff>
    </xdr:from>
    <xdr:to>
      <xdr:col>0</xdr:col>
      <xdr:colOff>1165413</xdr:colOff>
      <xdr:row>84</xdr:row>
      <xdr:rowOff>44824</xdr:rowOff>
    </xdr:to>
    <xdr:sp macro="" textlink="">
      <xdr:nvSpPr>
        <xdr:cNvPr id="4513" name="Flèche vers le bas 451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83</xdr:row>
      <xdr:rowOff>313765</xdr:rowOff>
    </xdr:from>
    <xdr:to>
      <xdr:col>0</xdr:col>
      <xdr:colOff>1165413</xdr:colOff>
      <xdr:row>84</xdr:row>
      <xdr:rowOff>44824</xdr:rowOff>
    </xdr:to>
    <xdr:sp macro="" textlink="">
      <xdr:nvSpPr>
        <xdr:cNvPr id="4514" name="Flèche vers le bas 451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83</xdr:row>
      <xdr:rowOff>313765</xdr:rowOff>
    </xdr:from>
    <xdr:to>
      <xdr:col>0</xdr:col>
      <xdr:colOff>1165413</xdr:colOff>
      <xdr:row>84</xdr:row>
      <xdr:rowOff>44824</xdr:rowOff>
    </xdr:to>
    <xdr:sp macro="" textlink="">
      <xdr:nvSpPr>
        <xdr:cNvPr id="4515" name="Flèche vers le bas 451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83</xdr:row>
      <xdr:rowOff>313765</xdr:rowOff>
    </xdr:from>
    <xdr:to>
      <xdr:col>0</xdr:col>
      <xdr:colOff>1165413</xdr:colOff>
      <xdr:row>84</xdr:row>
      <xdr:rowOff>44824</xdr:rowOff>
    </xdr:to>
    <xdr:sp macro="" textlink="">
      <xdr:nvSpPr>
        <xdr:cNvPr id="4516" name="Flèche vers le bas 451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83</xdr:row>
      <xdr:rowOff>313765</xdr:rowOff>
    </xdr:from>
    <xdr:to>
      <xdr:col>0</xdr:col>
      <xdr:colOff>1165413</xdr:colOff>
      <xdr:row>84</xdr:row>
      <xdr:rowOff>44824</xdr:rowOff>
    </xdr:to>
    <xdr:sp macro="" textlink="">
      <xdr:nvSpPr>
        <xdr:cNvPr id="4517" name="Flèche vers le bas 451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83</xdr:row>
      <xdr:rowOff>313765</xdr:rowOff>
    </xdr:from>
    <xdr:to>
      <xdr:col>0</xdr:col>
      <xdr:colOff>1165413</xdr:colOff>
      <xdr:row>84</xdr:row>
      <xdr:rowOff>44824</xdr:rowOff>
    </xdr:to>
    <xdr:sp macro="" textlink="">
      <xdr:nvSpPr>
        <xdr:cNvPr id="4518" name="Flèche vers le bas 451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83</xdr:row>
      <xdr:rowOff>313765</xdr:rowOff>
    </xdr:from>
    <xdr:to>
      <xdr:col>0</xdr:col>
      <xdr:colOff>1165413</xdr:colOff>
      <xdr:row>84</xdr:row>
      <xdr:rowOff>44824</xdr:rowOff>
    </xdr:to>
    <xdr:sp macro="" textlink="">
      <xdr:nvSpPr>
        <xdr:cNvPr id="4519" name="Flèche vers le bas 451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83</xdr:row>
      <xdr:rowOff>313765</xdr:rowOff>
    </xdr:from>
    <xdr:to>
      <xdr:col>0</xdr:col>
      <xdr:colOff>1165413</xdr:colOff>
      <xdr:row>84</xdr:row>
      <xdr:rowOff>44824</xdr:rowOff>
    </xdr:to>
    <xdr:sp macro="" textlink="">
      <xdr:nvSpPr>
        <xdr:cNvPr id="4520" name="Flèche vers le bas 451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83</xdr:row>
      <xdr:rowOff>313765</xdr:rowOff>
    </xdr:from>
    <xdr:to>
      <xdr:col>0</xdr:col>
      <xdr:colOff>1165413</xdr:colOff>
      <xdr:row>84</xdr:row>
      <xdr:rowOff>44824</xdr:rowOff>
    </xdr:to>
    <xdr:sp macro="" textlink="">
      <xdr:nvSpPr>
        <xdr:cNvPr id="4521" name="Flèche vers le bas 452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84</xdr:row>
      <xdr:rowOff>313765</xdr:rowOff>
    </xdr:from>
    <xdr:to>
      <xdr:col>0</xdr:col>
      <xdr:colOff>1165413</xdr:colOff>
      <xdr:row>85</xdr:row>
      <xdr:rowOff>44824</xdr:rowOff>
    </xdr:to>
    <xdr:sp macro="" textlink="">
      <xdr:nvSpPr>
        <xdr:cNvPr id="4522" name="Flèche vers le bas 452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84</xdr:row>
      <xdr:rowOff>313765</xdr:rowOff>
    </xdr:from>
    <xdr:to>
      <xdr:col>0</xdr:col>
      <xdr:colOff>1165413</xdr:colOff>
      <xdr:row>85</xdr:row>
      <xdr:rowOff>44824</xdr:rowOff>
    </xdr:to>
    <xdr:sp macro="" textlink="">
      <xdr:nvSpPr>
        <xdr:cNvPr id="4523" name="Flèche vers le bas 452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84</xdr:row>
      <xdr:rowOff>313765</xdr:rowOff>
    </xdr:from>
    <xdr:to>
      <xdr:col>0</xdr:col>
      <xdr:colOff>1165413</xdr:colOff>
      <xdr:row>85</xdr:row>
      <xdr:rowOff>44824</xdr:rowOff>
    </xdr:to>
    <xdr:sp macro="" textlink="">
      <xdr:nvSpPr>
        <xdr:cNvPr id="4524" name="Flèche vers le bas 452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84</xdr:row>
      <xdr:rowOff>313765</xdr:rowOff>
    </xdr:from>
    <xdr:to>
      <xdr:col>0</xdr:col>
      <xdr:colOff>1165413</xdr:colOff>
      <xdr:row>85</xdr:row>
      <xdr:rowOff>44824</xdr:rowOff>
    </xdr:to>
    <xdr:sp macro="" textlink="">
      <xdr:nvSpPr>
        <xdr:cNvPr id="4525" name="Flèche vers le bas 452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84</xdr:row>
      <xdr:rowOff>313765</xdr:rowOff>
    </xdr:from>
    <xdr:to>
      <xdr:col>0</xdr:col>
      <xdr:colOff>1165413</xdr:colOff>
      <xdr:row>85</xdr:row>
      <xdr:rowOff>44824</xdr:rowOff>
    </xdr:to>
    <xdr:sp macro="" textlink="">
      <xdr:nvSpPr>
        <xdr:cNvPr id="4526" name="Flèche vers le bas 452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84</xdr:row>
      <xdr:rowOff>313765</xdr:rowOff>
    </xdr:from>
    <xdr:to>
      <xdr:col>0</xdr:col>
      <xdr:colOff>1165413</xdr:colOff>
      <xdr:row>85</xdr:row>
      <xdr:rowOff>44824</xdr:rowOff>
    </xdr:to>
    <xdr:sp macro="" textlink="">
      <xdr:nvSpPr>
        <xdr:cNvPr id="4527" name="Flèche vers le bas 452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84</xdr:row>
      <xdr:rowOff>313765</xdr:rowOff>
    </xdr:from>
    <xdr:to>
      <xdr:col>0</xdr:col>
      <xdr:colOff>1165413</xdr:colOff>
      <xdr:row>85</xdr:row>
      <xdr:rowOff>44824</xdr:rowOff>
    </xdr:to>
    <xdr:sp macro="" textlink="">
      <xdr:nvSpPr>
        <xdr:cNvPr id="4528" name="Flèche vers le bas 452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84</xdr:row>
      <xdr:rowOff>313765</xdr:rowOff>
    </xdr:from>
    <xdr:to>
      <xdr:col>0</xdr:col>
      <xdr:colOff>1165413</xdr:colOff>
      <xdr:row>85</xdr:row>
      <xdr:rowOff>44824</xdr:rowOff>
    </xdr:to>
    <xdr:sp macro="" textlink="">
      <xdr:nvSpPr>
        <xdr:cNvPr id="4529" name="Flèche vers le bas 452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84</xdr:row>
      <xdr:rowOff>313765</xdr:rowOff>
    </xdr:from>
    <xdr:to>
      <xdr:col>0</xdr:col>
      <xdr:colOff>1165413</xdr:colOff>
      <xdr:row>85</xdr:row>
      <xdr:rowOff>44824</xdr:rowOff>
    </xdr:to>
    <xdr:sp macro="" textlink="">
      <xdr:nvSpPr>
        <xdr:cNvPr id="4530" name="Flèche vers le bas 452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85</xdr:row>
      <xdr:rowOff>313765</xdr:rowOff>
    </xdr:from>
    <xdr:to>
      <xdr:col>0</xdr:col>
      <xdr:colOff>1165413</xdr:colOff>
      <xdr:row>86</xdr:row>
      <xdr:rowOff>44824</xdr:rowOff>
    </xdr:to>
    <xdr:sp macro="" textlink="">
      <xdr:nvSpPr>
        <xdr:cNvPr id="4531" name="Flèche vers le bas 453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85</xdr:row>
      <xdr:rowOff>313765</xdr:rowOff>
    </xdr:from>
    <xdr:to>
      <xdr:col>0</xdr:col>
      <xdr:colOff>1165413</xdr:colOff>
      <xdr:row>86</xdr:row>
      <xdr:rowOff>44824</xdr:rowOff>
    </xdr:to>
    <xdr:sp macro="" textlink="">
      <xdr:nvSpPr>
        <xdr:cNvPr id="4532" name="Flèche vers le bas 453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85</xdr:row>
      <xdr:rowOff>313765</xdr:rowOff>
    </xdr:from>
    <xdr:to>
      <xdr:col>0</xdr:col>
      <xdr:colOff>1165413</xdr:colOff>
      <xdr:row>86</xdr:row>
      <xdr:rowOff>44824</xdr:rowOff>
    </xdr:to>
    <xdr:sp macro="" textlink="">
      <xdr:nvSpPr>
        <xdr:cNvPr id="4533" name="Flèche vers le bas 453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85</xdr:row>
      <xdr:rowOff>313765</xdr:rowOff>
    </xdr:from>
    <xdr:to>
      <xdr:col>0</xdr:col>
      <xdr:colOff>1165413</xdr:colOff>
      <xdr:row>86</xdr:row>
      <xdr:rowOff>44824</xdr:rowOff>
    </xdr:to>
    <xdr:sp macro="" textlink="">
      <xdr:nvSpPr>
        <xdr:cNvPr id="4534" name="Flèche vers le bas 453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85</xdr:row>
      <xdr:rowOff>313765</xdr:rowOff>
    </xdr:from>
    <xdr:to>
      <xdr:col>0</xdr:col>
      <xdr:colOff>1165413</xdr:colOff>
      <xdr:row>86</xdr:row>
      <xdr:rowOff>44824</xdr:rowOff>
    </xdr:to>
    <xdr:sp macro="" textlink="">
      <xdr:nvSpPr>
        <xdr:cNvPr id="4535" name="Flèche vers le bas 453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85</xdr:row>
      <xdr:rowOff>313765</xdr:rowOff>
    </xdr:from>
    <xdr:to>
      <xdr:col>0</xdr:col>
      <xdr:colOff>1165413</xdr:colOff>
      <xdr:row>86</xdr:row>
      <xdr:rowOff>44824</xdr:rowOff>
    </xdr:to>
    <xdr:sp macro="" textlink="">
      <xdr:nvSpPr>
        <xdr:cNvPr id="4536" name="Flèche vers le bas 453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85</xdr:row>
      <xdr:rowOff>313765</xdr:rowOff>
    </xdr:from>
    <xdr:to>
      <xdr:col>0</xdr:col>
      <xdr:colOff>1165413</xdr:colOff>
      <xdr:row>86</xdr:row>
      <xdr:rowOff>44824</xdr:rowOff>
    </xdr:to>
    <xdr:sp macro="" textlink="">
      <xdr:nvSpPr>
        <xdr:cNvPr id="4537" name="Flèche vers le bas 453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85</xdr:row>
      <xdr:rowOff>313765</xdr:rowOff>
    </xdr:from>
    <xdr:to>
      <xdr:col>0</xdr:col>
      <xdr:colOff>1165413</xdr:colOff>
      <xdr:row>86</xdr:row>
      <xdr:rowOff>44824</xdr:rowOff>
    </xdr:to>
    <xdr:sp macro="" textlink="">
      <xdr:nvSpPr>
        <xdr:cNvPr id="4538" name="Flèche vers le bas 453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85</xdr:row>
      <xdr:rowOff>313765</xdr:rowOff>
    </xdr:from>
    <xdr:to>
      <xdr:col>0</xdr:col>
      <xdr:colOff>1165413</xdr:colOff>
      <xdr:row>86</xdr:row>
      <xdr:rowOff>44824</xdr:rowOff>
    </xdr:to>
    <xdr:sp macro="" textlink="">
      <xdr:nvSpPr>
        <xdr:cNvPr id="4539" name="Flèche vers le bas 453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86</xdr:row>
      <xdr:rowOff>313765</xdr:rowOff>
    </xdr:from>
    <xdr:to>
      <xdr:col>0</xdr:col>
      <xdr:colOff>1165413</xdr:colOff>
      <xdr:row>87</xdr:row>
      <xdr:rowOff>44824</xdr:rowOff>
    </xdr:to>
    <xdr:sp macro="" textlink="">
      <xdr:nvSpPr>
        <xdr:cNvPr id="4540" name="Flèche vers le bas 453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86</xdr:row>
      <xdr:rowOff>313765</xdr:rowOff>
    </xdr:from>
    <xdr:to>
      <xdr:col>0</xdr:col>
      <xdr:colOff>1165413</xdr:colOff>
      <xdr:row>87</xdr:row>
      <xdr:rowOff>44824</xdr:rowOff>
    </xdr:to>
    <xdr:sp macro="" textlink="">
      <xdr:nvSpPr>
        <xdr:cNvPr id="4541" name="Flèche vers le bas 454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86</xdr:row>
      <xdr:rowOff>313765</xdr:rowOff>
    </xdr:from>
    <xdr:to>
      <xdr:col>0</xdr:col>
      <xdr:colOff>1165413</xdr:colOff>
      <xdr:row>87</xdr:row>
      <xdr:rowOff>44824</xdr:rowOff>
    </xdr:to>
    <xdr:sp macro="" textlink="">
      <xdr:nvSpPr>
        <xdr:cNvPr id="4542" name="Flèche vers le bas 454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86</xdr:row>
      <xdr:rowOff>313765</xdr:rowOff>
    </xdr:from>
    <xdr:to>
      <xdr:col>0</xdr:col>
      <xdr:colOff>1165413</xdr:colOff>
      <xdr:row>87</xdr:row>
      <xdr:rowOff>44824</xdr:rowOff>
    </xdr:to>
    <xdr:sp macro="" textlink="">
      <xdr:nvSpPr>
        <xdr:cNvPr id="4543" name="Flèche vers le bas 454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86</xdr:row>
      <xdr:rowOff>313765</xdr:rowOff>
    </xdr:from>
    <xdr:to>
      <xdr:col>0</xdr:col>
      <xdr:colOff>1165413</xdr:colOff>
      <xdr:row>87</xdr:row>
      <xdr:rowOff>44824</xdr:rowOff>
    </xdr:to>
    <xdr:sp macro="" textlink="">
      <xdr:nvSpPr>
        <xdr:cNvPr id="4544" name="Flèche vers le bas 454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86</xdr:row>
      <xdr:rowOff>313765</xdr:rowOff>
    </xdr:from>
    <xdr:to>
      <xdr:col>0</xdr:col>
      <xdr:colOff>1165413</xdr:colOff>
      <xdr:row>87</xdr:row>
      <xdr:rowOff>44824</xdr:rowOff>
    </xdr:to>
    <xdr:sp macro="" textlink="">
      <xdr:nvSpPr>
        <xdr:cNvPr id="4545" name="Flèche vers le bas 454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86</xdr:row>
      <xdr:rowOff>313765</xdr:rowOff>
    </xdr:from>
    <xdr:to>
      <xdr:col>0</xdr:col>
      <xdr:colOff>1165413</xdr:colOff>
      <xdr:row>87</xdr:row>
      <xdr:rowOff>44824</xdr:rowOff>
    </xdr:to>
    <xdr:sp macro="" textlink="">
      <xdr:nvSpPr>
        <xdr:cNvPr id="4546" name="Flèche vers le bas 454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86</xdr:row>
      <xdr:rowOff>313765</xdr:rowOff>
    </xdr:from>
    <xdr:to>
      <xdr:col>0</xdr:col>
      <xdr:colOff>1165413</xdr:colOff>
      <xdr:row>87</xdr:row>
      <xdr:rowOff>44824</xdr:rowOff>
    </xdr:to>
    <xdr:sp macro="" textlink="">
      <xdr:nvSpPr>
        <xdr:cNvPr id="4547" name="Flèche vers le bas 454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86</xdr:row>
      <xdr:rowOff>313765</xdr:rowOff>
    </xdr:from>
    <xdr:to>
      <xdr:col>0</xdr:col>
      <xdr:colOff>1165413</xdr:colOff>
      <xdr:row>87</xdr:row>
      <xdr:rowOff>44824</xdr:rowOff>
    </xdr:to>
    <xdr:sp macro="" textlink="">
      <xdr:nvSpPr>
        <xdr:cNvPr id="4548" name="Flèche vers le bas 454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4549" name="Flèche vers le bas 454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4550" name="Flèche vers le bas 454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4551" name="Flèche vers le bas 455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4552" name="Flèche vers le bas 455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4553" name="Flèche vers le bas 455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4554" name="Flèche vers le bas 455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4555" name="Flèche vers le bas 455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4556" name="Flèche vers le bas 455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4557" name="Flèche vers le bas 455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xdr:row>
      <xdr:rowOff>313765</xdr:rowOff>
    </xdr:from>
    <xdr:to>
      <xdr:col>0</xdr:col>
      <xdr:colOff>1165413</xdr:colOff>
      <xdr:row>8</xdr:row>
      <xdr:rowOff>44824</xdr:rowOff>
    </xdr:to>
    <xdr:sp macro="" textlink="">
      <xdr:nvSpPr>
        <xdr:cNvPr id="4558" name="Flèche vers le bas 4557"/>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xdr:row>
      <xdr:rowOff>313765</xdr:rowOff>
    </xdr:from>
    <xdr:to>
      <xdr:col>0</xdr:col>
      <xdr:colOff>1165413</xdr:colOff>
      <xdr:row>9</xdr:row>
      <xdr:rowOff>44824</xdr:rowOff>
    </xdr:to>
    <xdr:sp macro="" textlink="">
      <xdr:nvSpPr>
        <xdr:cNvPr id="4559" name="Flèche vers le bas 4558"/>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xdr:row>
      <xdr:rowOff>313765</xdr:rowOff>
    </xdr:from>
    <xdr:to>
      <xdr:col>0</xdr:col>
      <xdr:colOff>1165413</xdr:colOff>
      <xdr:row>10</xdr:row>
      <xdr:rowOff>44824</xdr:rowOff>
    </xdr:to>
    <xdr:sp macro="" textlink="">
      <xdr:nvSpPr>
        <xdr:cNvPr id="4560" name="Flèche vers le bas 4559"/>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4561" name="Flèche vers le bas 4560"/>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4562" name="Flèche vers le bas 4561"/>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4563" name="Flèche vers le bas 4562"/>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4564" name="Flèche vers le bas 4563"/>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4565" name="Flèche vers le bas 4564"/>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4566" name="Flèche vers le bas 4565"/>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4567" name="Flèche vers le bas 4566"/>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4568" name="Flèche vers le bas 4567"/>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4569" name="Flèche vers le bas 4568"/>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4570" name="Flèche vers le bas 4569"/>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4571" name="Flèche vers le bas 4570"/>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4572" name="Flèche vers le bas 4571"/>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4573" name="Flèche vers le bas 4572"/>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4574" name="Flèche vers le bas 4573"/>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4575" name="Flèche vers le bas 4574"/>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4576" name="Flèche vers le bas 4575"/>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4577" name="Flèche vers le bas 4576"/>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4578" name="Flèche vers le bas 4577"/>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4579" name="Flèche vers le bas 4578"/>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4580" name="Flèche vers le bas 4579"/>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4581" name="Flèche vers le bas 4580"/>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4582" name="Flèche vers le bas 4581"/>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4583" name="Flèche vers le bas 4582"/>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4584" name="Flèche vers le bas 4583"/>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4585" name="Flèche vers le bas 4584"/>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4586" name="Flèche vers le bas 4585"/>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4587" name="Flèche vers le bas 4586"/>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4588" name="Flèche vers le bas 4587"/>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38</xdr:row>
      <xdr:rowOff>313765</xdr:rowOff>
    </xdr:from>
    <xdr:to>
      <xdr:col>0</xdr:col>
      <xdr:colOff>1165413</xdr:colOff>
      <xdr:row>39</xdr:row>
      <xdr:rowOff>44824</xdr:rowOff>
    </xdr:to>
    <xdr:sp macro="" textlink="">
      <xdr:nvSpPr>
        <xdr:cNvPr id="4589" name="Flèche vers le bas 4588"/>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39</xdr:row>
      <xdr:rowOff>313765</xdr:rowOff>
    </xdr:from>
    <xdr:to>
      <xdr:col>0</xdr:col>
      <xdr:colOff>1165413</xdr:colOff>
      <xdr:row>40</xdr:row>
      <xdr:rowOff>44824</xdr:rowOff>
    </xdr:to>
    <xdr:sp macro="" textlink="">
      <xdr:nvSpPr>
        <xdr:cNvPr id="4590" name="Flèche vers le bas 4589"/>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40</xdr:row>
      <xdr:rowOff>313765</xdr:rowOff>
    </xdr:from>
    <xdr:to>
      <xdr:col>0</xdr:col>
      <xdr:colOff>1165413</xdr:colOff>
      <xdr:row>41</xdr:row>
      <xdr:rowOff>44824</xdr:rowOff>
    </xdr:to>
    <xdr:sp macro="" textlink="">
      <xdr:nvSpPr>
        <xdr:cNvPr id="4591" name="Flèche vers le bas 4590"/>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41</xdr:row>
      <xdr:rowOff>313765</xdr:rowOff>
    </xdr:from>
    <xdr:to>
      <xdr:col>0</xdr:col>
      <xdr:colOff>1165413</xdr:colOff>
      <xdr:row>42</xdr:row>
      <xdr:rowOff>44824</xdr:rowOff>
    </xdr:to>
    <xdr:sp macro="" textlink="">
      <xdr:nvSpPr>
        <xdr:cNvPr id="4592" name="Flèche vers le bas 4591"/>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42</xdr:row>
      <xdr:rowOff>313765</xdr:rowOff>
    </xdr:from>
    <xdr:to>
      <xdr:col>0</xdr:col>
      <xdr:colOff>1165413</xdr:colOff>
      <xdr:row>43</xdr:row>
      <xdr:rowOff>44824</xdr:rowOff>
    </xdr:to>
    <xdr:sp macro="" textlink="">
      <xdr:nvSpPr>
        <xdr:cNvPr id="4593" name="Flèche vers le bas 4592"/>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43</xdr:row>
      <xdr:rowOff>313765</xdr:rowOff>
    </xdr:from>
    <xdr:to>
      <xdr:col>0</xdr:col>
      <xdr:colOff>1165413</xdr:colOff>
      <xdr:row>44</xdr:row>
      <xdr:rowOff>44824</xdr:rowOff>
    </xdr:to>
    <xdr:sp macro="" textlink="">
      <xdr:nvSpPr>
        <xdr:cNvPr id="4594" name="Flèche vers le bas 4593"/>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44</xdr:row>
      <xdr:rowOff>313765</xdr:rowOff>
    </xdr:from>
    <xdr:to>
      <xdr:col>0</xdr:col>
      <xdr:colOff>1165413</xdr:colOff>
      <xdr:row>45</xdr:row>
      <xdr:rowOff>44824</xdr:rowOff>
    </xdr:to>
    <xdr:sp macro="" textlink="">
      <xdr:nvSpPr>
        <xdr:cNvPr id="4595" name="Flèche vers le bas 4594"/>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45</xdr:row>
      <xdr:rowOff>313765</xdr:rowOff>
    </xdr:from>
    <xdr:to>
      <xdr:col>0</xdr:col>
      <xdr:colOff>1165413</xdr:colOff>
      <xdr:row>46</xdr:row>
      <xdr:rowOff>44824</xdr:rowOff>
    </xdr:to>
    <xdr:sp macro="" textlink="">
      <xdr:nvSpPr>
        <xdr:cNvPr id="4596" name="Flèche vers le bas 4595"/>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46</xdr:row>
      <xdr:rowOff>313765</xdr:rowOff>
    </xdr:from>
    <xdr:to>
      <xdr:col>0</xdr:col>
      <xdr:colOff>1165413</xdr:colOff>
      <xdr:row>47</xdr:row>
      <xdr:rowOff>44824</xdr:rowOff>
    </xdr:to>
    <xdr:sp macro="" textlink="">
      <xdr:nvSpPr>
        <xdr:cNvPr id="4597" name="Flèche vers le bas 4596"/>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47</xdr:row>
      <xdr:rowOff>313765</xdr:rowOff>
    </xdr:from>
    <xdr:to>
      <xdr:col>0</xdr:col>
      <xdr:colOff>1165413</xdr:colOff>
      <xdr:row>48</xdr:row>
      <xdr:rowOff>44824</xdr:rowOff>
    </xdr:to>
    <xdr:sp macro="" textlink="">
      <xdr:nvSpPr>
        <xdr:cNvPr id="4598" name="Flèche vers le bas 4597"/>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48</xdr:row>
      <xdr:rowOff>313765</xdr:rowOff>
    </xdr:from>
    <xdr:to>
      <xdr:col>0</xdr:col>
      <xdr:colOff>1165413</xdr:colOff>
      <xdr:row>49</xdr:row>
      <xdr:rowOff>44824</xdr:rowOff>
    </xdr:to>
    <xdr:sp macro="" textlink="">
      <xdr:nvSpPr>
        <xdr:cNvPr id="4599" name="Flèche vers le bas 4598"/>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49</xdr:row>
      <xdr:rowOff>313765</xdr:rowOff>
    </xdr:from>
    <xdr:to>
      <xdr:col>0</xdr:col>
      <xdr:colOff>1165413</xdr:colOff>
      <xdr:row>50</xdr:row>
      <xdr:rowOff>44824</xdr:rowOff>
    </xdr:to>
    <xdr:sp macro="" textlink="">
      <xdr:nvSpPr>
        <xdr:cNvPr id="4600" name="Flèche vers le bas 4599"/>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50</xdr:row>
      <xdr:rowOff>313765</xdr:rowOff>
    </xdr:from>
    <xdr:to>
      <xdr:col>0</xdr:col>
      <xdr:colOff>1165413</xdr:colOff>
      <xdr:row>51</xdr:row>
      <xdr:rowOff>44824</xdr:rowOff>
    </xdr:to>
    <xdr:sp macro="" textlink="">
      <xdr:nvSpPr>
        <xdr:cNvPr id="4601" name="Flèche vers le bas 4600"/>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51</xdr:row>
      <xdr:rowOff>313765</xdr:rowOff>
    </xdr:from>
    <xdr:to>
      <xdr:col>0</xdr:col>
      <xdr:colOff>1165413</xdr:colOff>
      <xdr:row>52</xdr:row>
      <xdr:rowOff>44824</xdr:rowOff>
    </xdr:to>
    <xdr:sp macro="" textlink="">
      <xdr:nvSpPr>
        <xdr:cNvPr id="4602" name="Flèche vers le bas 4601"/>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52</xdr:row>
      <xdr:rowOff>313765</xdr:rowOff>
    </xdr:from>
    <xdr:to>
      <xdr:col>0</xdr:col>
      <xdr:colOff>1165413</xdr:colOff>
      <xdr:row>53</xdr:row>
      <xdr:rowOff>44824</xdr:rowOff>
    </xdr:to>
    <xdr:sp macro="" textlink="">
      <xdr:nvSpPr>
        <xdr:cNvPr id="4603" name="Flèche vers le bas 4602"/>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53</xdr:row>
      <xdr:rowOff>313765</xdr:rowOff>
    </xdr:from>
    <xdr:to>
      <xdr:col>0</xdr:col>
      <xdr:colOff>1165413</xdr:colOff>
      <xdr:row>54</xdr:row>
      <xdr:rowOff>44824</xdr:rowOff>
    </xdr:to>
    <xdr:sp macro="" textlink="">
      <xdr:nvSpPr>
        <xdr:cNvPr id="4604" name="Flèche vers le bas 4603"/>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54</xdr:row>
      <xdr:rowOff>313765</xdr:rowOff>
    </xdr:from>
    <xdr:to>
      <xdr:col>0</xdr:col>
      <xdr:colOff>1165413</xdr:colOff>
      <xdr:row>55</xdr:row>
      <xdr:rowOff>44824</xdr:rowOff>
    </xdr:to>
    <xdr:sp macro="" textlink="">
      <xdr:nvSpPr>
        <xdr:cNvPr id="4605" name="Flèche vers le bas 4604"/>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55</xdr:row>
      <xdr:rowOff>313765</xdr:rowOff>
    </xdr:from>
    <xdr:to>
      <xdr:col>0</xdr:col>
      <xdr:colOff>1165413</xdr:colOff>
      <xdr:row>56</xdr:row>
      <xdr:rowOff>44824</xdr:rowOff>
    </xdr:to>
    <xdr:sp macro="" textlink="">
      <xdr:nvSpPr>
        <xdr:cNvPr id="4606" name="Flèche vers le bas 4605"/>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56</xdr:row>
      <xdr:rowOff>313765</xdr:rowOff>
    </xdr:from>
    <xdr:to>
      <xdr:col>0</xdr:col>
      <xdr:colOff>1165413</xdr:colOff>
      <xdr:row>57</xdr:row>
      <xdr:rowOff>44824</xdr:rowOff>
    </xdr:to>
    <xdr:sp macro="" textlink="">
      <xdr:nvSpPr>
        <xdr:cNvPr id="4607" name="Flèche vers le bas 4606"/>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57</xdr:row>
      <xdr:rowOff>313765</xdr:rowOff>
    </xdr:from>
    <xdr:to>
      <xdr:col>0</xdr:col>
      <xdr:colOff>1165413</xdr:colOff>
      <xdr:row>58</xdr:row>
      <xdr:rowOff>44824</xdr:rowOff>
    </xdr:to>
    <xdr:sp macro="" textlink="">
      <xdr:nvSpPr>
        <xdr:cNvPr id="4608" name="Flèche vers le bas 4607"/>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58</xdr:row>
      <xdr:rowOff>313765</xdr:rowOff>
    </xdr:from>
    <xdr:to>
      <xdr:col>0</xdr:col>
      <xdr:colOff>1165413</xdr:colOff>
      <xdr:row>59</xdr:row>
      <xdr:rowOff>44824</xdr:rowOff>
    </xdr:to>
    <xdr:sp macro="" textlink="">
      <xdr:nvSpPr>
        <xdr:cNvPr id="4609" name="Flèche vers le bas 4608"/>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59</xdr:row>
      <xdr:rowOff>313765</xdr:rowOff>
    </xdr:from>
    <xdr:to>
      <xdr:col>0</xdr:col>
      <xdr:colOff>1165413</xdr:colOff>
      <xdr:row>60</xdr:row>
      <xdr:rowOff>44824</xdr:rowOff>
    </xdr:to>
    <xdr:sp macro="" textlink="">
      <xdr:nvSpPr>
        <xdr:cNvPr id="4610" name="Flèche vers le bas 4609"/>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60</xdr:row>
      <xdr:rowOff>313765</xdr:rowOff>
    </xdr:from>
    <xdr:to>
      <xdr:col>0</xdr:col>
      <xdr:colOff>1165413</xdr:colOff>
      <xdr:row>61</xdr:row>
      <xdr:rowOff>44824</xdr:rowOff>
    </xdr:to>
    <xdr:sp macro="" textlink="">
      <xdr:nvSpPr>
        <xdr:cNvPr id="4611" name="Flèche vers le bas 4610"/>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61</xdr:row>
      <xdr:rowOff>313765</xdr:rowOff>
    </xdr:from>
    <xdr:to>
      <xdr:col>0</xdr:col>
      <xdr:colOff>1165413</xdr:colOff>
      <xdr:row>62</xdr:row>
      <xdr:rowOff>44824</xdr:rowOff>
    </xdr:to>
    <xdr:sp macro="" textlink="">
      <xdr:nvSpPr>
        <xdr:cNvPr id="4612" name="Flèche vers le bas 4611"/>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62</xdr:row>
      <xdr:rowOff>313765</xdr:rowOff>
    </xdr:from>
    <xdr:to>
      <xdr:col>0</xdr:col>
      <xdr:colOff>1165413</xdr:colOff>
      <xdr:row>63</xdr:row>
      <xdr:rowOff>44824</xdr:rowOff>
    </xdr:to>
    <xdr:sp macro="" textlink="">
      <xdr:nvSpPr>
        <xdr:cNvPr id="4613" name="Flèche vers le bas 4612"/>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63</xdr:row>
      <xdr:rowOff>313765</xdr:rowOff>
    </xdr:from>
    <xdr:to>
      <xdr:col>0</xdr:col>
      <xdr:colOff>1165413</xdr:colOff>
      <xdr:row>64</xdr:row>
      <xdr:rowOff>44824</xdr:rowOff>
    </xdr:to>
    <xdr:sp macro="" textlink="">
      <xdr:nvSpPr>
        <xdr:cNvPr id="4614" name="Flèche vers le bas 4613"/>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64</xdr:row>
      <xdr:rowOff>313765</xdr:rowOff>
    </xdr:from>
    <xdr:to>
      <xdr:col>0</xdr:col>
      <xdr:colOff>1165413</xdr:colOff>
      <xdr:row>65</xdr:row>
      <xdr:rowOff>44824</xdr:rowOff>
    </xdr:to>
    <xdr:sp macro="" textlink="">
      <xdr:nvSpPr>
        <xdr:cNvPr id="4615" name="Flèche vers le bas 4614"/>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65</xdr:row>
      <xdr:rowOff>313765</xdr:rowOff>
    </xdr:from>
    <xdr:to>
      <xdr:col>0</xdr:col>
      <xdr:colOff>1165413</xdr:colOff>
      <xdr:row>66</xdr:row>
      <xdr:rowOff>44824</xdr:rowOff>
    </xdr:to>
    <xdr:sp macro="" textlink="">
      <xdr:nvSpPr>
        <xdr:cNvPr id="4616" name="Flèche vers le bas 4615"/>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66</xdr:row>
      <xdr:rowOff>313765</xdr:rowOff>
    </xdr:from>
    <xdr:to>
      <xdr:col>0</xdr:col>
      <xdr:colOff>1165413</xdr:colOff>
      <xdr:row>67</xdr:row>
      <xdr:rowOff>44824</xdr:rowOff>
    </xdr:to>
    <xdr:sp macro="" textlink="">
      <xdr:nvSpPr>
        <xdr:cNvPr id="4617" name="Flèche vers le bas 4616"/>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67</xdr:row>
      <xdr:rowOff>313765</xdr:rowOff>
    </xdr:from>
    <xdr:to>
      <xdr:col>0</xdr:col>
      <xdr:colOff>1165413</xdr:colOff>
      <xdr:row>68</xdr:row>
      <xdr:rowOff>44824</xdr:rowOff>
    </xdr:to>
    <xdr:sp macro="" textlink="">
      <xdr:nvSpPr>
        <xdr:cNvPr id="4618" name="Flèche vers le bas 4617"/>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68</xdr:row>
      <xdr:rowOff>313765</xdr:rowOff>
    </xdr:from>
    <xdr:to>
      <xdr:col>0</xdr:col>
      <xdr:colOff>1165413</xdr:colOff>
      <xdr:row>69</xdr:row>
      <xdr:rowOff>44824</xdr:rowOff>
    </xdr:to>
    <xdr:sp macro="" textlink="">
      <xdr:nvSpPr>
        <xdr:cNvPr id="4619" name="Flèche vers le bas 4618"/>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69</xdr:row>
      <xdr:rowOff>313765</xdr:rowOff>
    </xdr:from>
    <xdr:to>
      <xdr:col>0</xdr:col>
      <xdr:colOff>1165413</xdr:colOff>
      <xdr:row>70</xdr:row>
      <xdr:rowOff>44824</xdr:rowOff>
    </xdr:to>
    <xdr:sp macro="" textlink="">
      <xdr:nvSpPr>
        <xdr:cNvPr id="4620" name="Flèche vers le bas 4619"/>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70</xdr:row>
      <xdr:rowOff>313765</xdr:rowOff>
    </xdr:from>
    <xdr:to>
      <xdr:col>0</xdr:col>
      <xdr:colOff>1165413</xdr:colOff>
      <xdr:row>71</xdr:row>
      <xdr:rowOff>44824</xdr:rowOff>
    </xdr:to>
    <xdr:sp macro="" textlink="">
      <xdr:nvSpPr>
        <xdr:cNvPr id="4621" name="Flèche vers le bas 4620"/>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71</xdr:row>
      <xdr:rowOff>313765</xdr:rowOff>
    </xdr:from>
    <xdr:to>
      <xdr:col>0</xdr:col>
      <xdr:colOff>1165413</xdr:colOff>
      <xdr:row>72</xdr:row>
      <xdr:rowOff>44824</xdr:rowOff>
    </xdr:to>
    <xdr:sp macro="" textlink="">
      <xdr:nvSpPr>
        <xdr:cNvPr id="4622" name="Flèche vers le bas 4621"/>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72</xdr:row>
      <xdr:rowOff>313765</xdr:rowOff>
    </xdr:from>
    <xdr:to>
      <xdr:col>0</xdr:col>
      <xdr:colOff>1165413</xdr:colOff>
      <xdr:row>73</xdr:row>
      <xdr:rowOff>44824</xdr:rowOff>
    </xdr:to>
    <xdr:sp macro="" textlink="">
      <xdr:nvSpPr>
        <xdr:cNvPr id="4623" name="Flèche vers le bas 4622"/>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73</xdr:row>
      <xdr:rowOff>313765</xdr:rowOff>
    </xdr:from>
    <xdr:to>
      <xdr:col>0</xdr:col>
      <xdr:colOff>1165413</xdr:colOff>
      <xdr:row>74</xdr:row>
      <xdr:rowOff>44824</xdr:rowOff>
    </xdr:to>
    <xdr:sp macro="" textlink="">
      <xdr:nvSpPr>
        <xdr:cNvPr id="4624" name="Flèche vers le bas 4623"/>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74</xdr:row>
      <xdr:rowOff>313765</xdr:rowOff>
    </xdr:from>
    <xdr:to>
      <xdr:col>0</xdr:col>
      <xdr:colOff>1165413</xdr:colOff>
      <xdr:row>75</xdr:row>
      <xdr:rowOff>44824</xdr:rowOff>
    </xdr:to>
    <xdr:sp macro="" textlink="">
      <xdr:nvSpPr>
        <xdr:cNvPr id="4625" name="Flèche vers le bas 4624"/>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75</xdr:row>
      <xdr:rowOff>313765</xdr:rowOff>
    </xdr:from>
    <xdr:to>
      <xdr:col>0</xdr:col>
      <xdr:colOff>1165413</xdr:colOff>
      <xdr:row>76</xdr:row>
      <xdr:rowOff>44824</xdr:rowOff>
    </xdr:to>
    <xdr:sp macro="" textlink="">
      <xdr:nvSpPr>
        <xdr:cNvPr id="4626" name="Flèche vers le bas 4625"/>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76</xdr:row>
      <xdr:rowOff>313765</xdr:rowOff>
    </xdr:from>
    <xdr:to>
      <xdr:col>0</xdr:col>
      <xdr:colOff>1165413</xdr:colOff>
      <xdr:row>77</xdr:row>
      <xdr:rowOff>44824</xdr:rowOff>
    </xdr:to>
    <xdr:sp macro="" textlink="">
      <xdr:nvSpPr>
        <xdr:cNvPr id="4627" name="Flèche vers le bas 4626"/>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77</xdr:row>
      <xdr:rowOff>313765</xdr:rowOff>
    </xdr:from>
    <xdr:to>
      <xdr:col>0</xdr:col>
      <xdr:colOff>1165413</xdr:colOff>
      <xdr:row>78</xdr:row>
      <xdr:rowOff>44824</xdr:rowOff>
    </xdr:to>
    <xdr:sp macro="" textlink="">
      <xdr:nvSpPr>
        <xdr:cNvPr id="4628" name="Flèche vers le bas 4627"/>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78</xdr:row>
      <xdr:rowOff>313765</xdr:rowOff>
    </xdr:from>
    <xdr:to>
      <xdr:col>0</xdr:col>
      <xdr:colOff>1165413</xdr:colOff>
      <xdr:row>79</xdr:row>
      <xdr:rowOff>44824</xdr:rowOff>
    </xdr:to>
    <xdr:sp macro="" textlink="">
      <xdr:nvSpPr>
        <xdr:cNvPr id="4629" name="Flèche vers le bas 4628"/>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79</xdr:row>
      <xdr:rowOff>313765</xdr:rowOff>
    </xdr:from>
    <xdr:to>
      <xdr:col>0</xdr:col>
      <xdr:colOff>1165413</xdr:colOff>
      <xdr:row>80</xdr:row>
      <xdr:rowOff>44824</xdr:rowOff>
    </xdr:to>
    <xdr:sp macro="" textlink="">
      <xdr:nvSpPr>
        <xdr:cNvPr id="4630" name="Flèche vers le bas 4629"/>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80</xdr:row>
      <xdr:rowOff>313765</xdr:rowOff>
    </xdr:from>
    <xdr:to>
      <xdr:col>0</xdr:col>
      <xdr:colOff>1165413</xdr:colOff>
      <xdr:row>81</xdr:row>
      <xdr:rowOff>44824</xdr:rowOff>
    </xdr:to>
    <xdr:sp macro="" textlink="">
      <xdr:nvSpPr>
        <xdr:cNvPr id="4631" name="Flèche vers le bas 4630"/>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81</xdr:row>
      <xdr:rowOff>313765</xdr:rowOff>
    </xdr:from>
    <xdr:to>
      <xdr:col>0</xdr:col>
      <xdr:colOff>1165413</xdr:colOff>
      <xdr:row>82</xdr:row>
      <xdr:rowOff>44824</xdr:rowOff>
    </xdr:to>
    <xdr:sp macro="" textlink="">
      <xdr:nvSpPr>
        <xdr:cNvPr id="4632" name="Flèche vers le bas 4631"/>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82</xdr:row>
      <xdr:rowOff>313765</xdr:rowOff>
    </xdr:from>
    <xdr:to>
      <xdr:col>0</xdr:col>
      <xdr:colOff>1165413</xdr:colOff>
      <xdr:row>83</xdr:row>
      <xdr:rowOff>44824</xdr:rowOff>
    </xdr:to>
    <xdr:sp macro="" textlink="">
      <xdr:nvSpPr>
        <xdr:cNvPr id="4633" name="Flèche vers le bas 4632"/>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83</xdr:row>
      <xdr:rowOff>313765</xdr:rowOff>
    </xdr:from>
    <xdr:to>
      <xdr:col>0</xdr:col>
      <xdr:colOff>1165413</xdr:colOff>
      <xdr:row>84</xdr:row>
      <xdr:rowOff>44824</xdr:rowOff>
    </xdr:to>
    <xdr:sp macro="" textlink="">
      <xdr:nvSpPr>
        <xdr:cNvPr id="4634" name="Flèche vers le bas 4633"/>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84</xdr:row>
      <xdr:rowOff>313765</xdr:rowOff>
    </xdr:from>
    <xdr:to>
      <xdr:col>0</xdr:col>
      <xdr:colOff>1165413</xdr:colOff>
      <xdr:row>85</xdr:row>
      <xdr:rowOff>44824</xdr:rowOff>
    </xdr:to>
    <xdr:sp macro="" textlink="">
      <xdr:nvSpPr>
        <xdr:cNvPr id="4635" name="Flèche vers le bas 4634"/>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85</xdr:row>
      <xdr:rowOff>313765</xdr:rowOff>
    </xdr:from>
    <xdr:to>
      <xdr:col>0</xdr:col>
      <xdr:colOff>1165413</xdr:colOff>
      <xdr:row>86</xdr:row>
      <xdr:rowOff>44824</xdr:rowOff>
    </xdr:to>
    <xdr:sp macro="" textlink="">
      <xdr:nvSpPr>
        <xdr:cNvPr id="4636" name="Flèche vers le bas 4635"/>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86</xdr:row>
      <xdr:rowOff>313765</xdr:rowOff>
    </xdr:from>
    <xdr:to>
      <xdr:col>0</xdr:col>
      <xdr:colOff>1165413</xdr:colOff>
      <xdr:row>87</xdr:row>
      <xdr:rowOff>44824</xdr:rowOff>
    </xdr:to>
    <xdr:sp macro="" textlink="">
      <xdr:nvSpPr>
        <xdr:cNvPr id="4637" name="Flèche vers le bas 4636"/>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4638" name="Flèche vers le bas 4637"/>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4639" name="Flèche vers le bas 4638"/>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4640" name="Flèche vers le bas 4639"/>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4641" name="Flèche vers le bas 4640"/>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4642" name="Flèche vers le bas 4641"/>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4643" name="Flèche vers le bas 4642"/>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4644" name="Flèche vers le bas 4643"/>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4645" name="Flèche vers le bas 4644"/>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4646" name="Flèche vers le bas 4645"/>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4647" name="Flèche vers le bas 4646"/>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4648" name="Flèche vers le bas 4647"/>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4649" name="Flèche vers le bas 4648"/>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4650" name="Flèche vers le bas 4649"/>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4651" name="Flèche vers le bas 4650"/>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4652" name="Flèche vers le bas 4651"/>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4653" name="Flèche vers le bas 4652"/>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4654" name="Flèche vers le bas 4653"/>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4655" name="Flèche vers le bas 4654"/>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4656" name="Flèche vers le bas 4655"/>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4657" name="Flèche vers le bas 4656"/>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4658" name="Flèche vers le bas 4657"/>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4659" name="Flèche vers le bas 4658"/>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4660" name="Flèche vers le bas 4659"/>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112</xdr:row>
      <xdr:rowOff>0</xdr:rowOff>
    </xdr:from>
    <xdr:to>
      <xdr:col>0</xdr:col>
      <xdr:colOff>1165413</xdr:colOff>
      <xdr:row>112</xdr:row>
      <xdr:rowOff>44824</xdr:rowOff>
    </xdr:to>
    <xdr:sp macro="" textlink="">
      <xdr:nvSpPr>
        <xdr:cNvPr id="4662" name="Flèche vers le bas 4661"/>
        <xdr:cNvSpPr/>
      </xdr:nvSpPr>
      <xdr:spPr>
        <a:xfrm>
          <a:off x="1019737" y="985051"/>
          <a:ext cx="145676" cy="17555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xdr:row>
      <xdr:rowOff>313765</xdr:rowOff>
    </xdr:from>
    <xdr:to>
      <xdr:col>0</xdr:col>
      <xdr:colOff>1165413</xdr:colOff>
      <xdr:row>10</xdr:row>
      <xdr:rowOff>44824</xdr:rowOff>
    </xdr:to>
    <xdr:sp macro="" textlink="">
      <xdr:nvSpPr>
        <xdr:cNvPr id="4663" name="Flèche vers le bas 466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xdr:row>
      <xdr:rowOff>313765</xdr:rowOff>
    </xdr:from>
    <xdr:to>
      <xdr:col>0</xdr:col>
      <xdr:colOff>1165413</xdr:colOff>
      <xdr:row>10</xdr:row>
      <xdr:rowOff>44824</xdr:rowOff>
    </xdr:to>
    <xdr:sp macro="" textlink="">
      <xdr:nvSpPr>
        <xdr:cNvPr id="4664" name="Flèche vers le bas 466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xdr:row>
      <xdr:rowOff>313765</xdr:rowOff>
    </xdr:from>
    <xdr:to>
      <xdr:col>0</xdr:col>
      <xdr:colOff>1165413</xdr:colOff>
      <xdr:row>10</xdr:row>
      <xdr:rowOff>44824</xdr:rowOff>
    </xdr:to>
    <xdr:sp macro="" textlink="">
      <xdr:nvSpPr>
        <xdr:cNvPr id="4665" name="Flèche vers le bas 466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xdr:row>
      <xdr:rowOff>313765</xdr:rowOff>
    </xdr:from>
    <xdr:to>
      <xdr:col>0</xdr:col>
      <xdr:colOff>1165413</xdr:colOff>
      <xdr:row>10</xdr:row>
      <xdr:rowOff>44824</xdr:rowOff>
    </xdr:to>
    <xdr:sp macro="" textlink="">
      <xdr:nvSpPr>
        <xdr:cNvPr id="4666" name="Flèche vers le bas 466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xdr:row>
      <xdr:rowOff>313765</xdr:rowOff>
    </xdr:from>
    <xdr:to>
      <xdr:col>0</xdr:col>
      <xdr:colOff>1165413</xdr:colOff>
      <xdr:row>10</xdr:row>
      <xdr:rowOff>44824</xdr:rowOff>
    </xdr:to>
    <xdr:sp macro="" textlink="">
      <xdr:nvSpPr>
        <xdr:cNvPr id="4667" name="Flèche vers le bas 466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xdr:row>
      <xdr:rowOff>313765</xdr:rowOff>
    </xdr:from>
    <xdr:to>
      <xdr:col>0</xdr:col>
      <xdr:colOff>1165413</xdr:colOff>
      <xdr:row>10</xdr:row>
      <xdr:rowOff>44824</xdr:rowOff>
    </xdr:to>
    <xdr:sp macro="" textlink="">
      <xdr:nvSpPr>
        <xdr:cNvPr id="4668" name="Flèche vers le bas 466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xdr:row>
      <xdr:rowOff>313765</xdr:rowOff>
    </xdr:from>
    <xdr:to>
      <xdr:col>0</xdr:col>
      <xdr:colOff>1165413</xdr:colOff>
      <xdr:row>10</xdr:row>
      <xdr:rowOff>44824</xdr:rowOff>
    </xdr:to>
    <xdr:sp macro="" textlink="">
      <xdr:nvSpPr>
        <xdr:cNvPr id="4669" name="Flèche vers le bas 466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xdr:row>
      <xdr:rowOff>313765</xdr:rowOff>
    </xdr:from>
    <xdr:to>
      <xdr:col>0</xdr:col>
      <xdr:colOff>1165413</xdr:colOff>
      <xdr:row>10</xdr:row>
      <xdr:rowOff>44824</xdr:rowOff>
    </xdr:to>
    <xdr:sp macro="" textlink="">
      <xdr:nvSpPr>
        <xdr:cNvPr id="4670" name="Flèche vers le bas 466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xdr:row>
      <xdr:rowOff>313765</xdr:rowOff>
    </xdr:from>
    <xdr:to>
      <xdr:col>0</xdr:col>
      <xdr:colOff>1165413</xdr:colOff>
      <xdr:row>10</xdr:row>
      <xdr:rowOff>44824</xdr:rowOff>
    </xdr:to>
    <xdr:sp macro="" textlink="">
      <xdr:nvSpPr>
        <xdr:cNvPr id="4671" name="Flèche vers le bas 467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xdr:row>
      <xdr:rowOff>313765</xdr:rowOff>
    </xdr:from>
    <xdr:to>
      <xdr:col>0</xdr:col>
      <xdr:colOff>1165413</xdr:colOff>
      <xdr:row>10</xdr:row>
      <xdr:rowOff>44824</xdr:rowOff>
    </xdr:to>
    <xdr:sp macro="" textlink="">
      <xdr:nvSpPr>
        <xdr:cNvPr id="4672" name="Flèche vers le bas 467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4673" name="Flèche vers le bas 467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4674" name="Flèche vers le bas 467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4675" name="Flèche vers le bas 467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4676" name="Flèche vers le bas 467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4677" name="Flèche vers le bas 467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4678" name="Flèche vers le bas 467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4679" name="Flèche vers le bas 467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4680" name="Flèche vers le bas 467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4681" name="Flèche vers le bas 468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4682" name="Flèche vers le bas 468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4683" name="Flèche vers le bas 468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4684" name="Flèche vers le bas 468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4685" name="Flèche vers le bas 468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4686" name="Flèche vers le bas 468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4687" name="Flèche vers le bas 468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4688" name="Flèche vers le bas 468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4689" name="Flèche vers le bas 468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4690" name="Flèche vers le bas 468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4691" name="Flèche vers le bas 469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4692" name="Flèche vers le bas 469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4693" name="Flèche vers le bas 469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4694" name="Flèche vers le bas 469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4695" name="Flèche vers le bas 469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4696" name="Flèche vers le bas 469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4697" name="Flèche vers le bas 469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4698" name="Flèche vers le bas 469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4699" name="Flèche vers le bas 469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4700" name="Flèche vers le bas 469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4701" name="Flèche vers le bas 470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4702" name="Flèche vers le bas 470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4703" name="Flèche vers le bas 470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4704" name="Flèche vers le bas 470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4705" name="Flèche vers le bas 470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4706" name="Flèche vers le bas 470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4707" name="Flèche vers le bas 470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4708" name="Flèche vers le bas 470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4709" name="Flèche vers le bas 470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4710" name="Flèche vers le bas 470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4711" name="Flèche vers le bas 471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4712" name="Flèche vers le bas 471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4713" name="Flèche vers le bas 471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4714" name="Flèche vers le bas 471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4715" name="Flèche vers le bas 471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4716" name="Flèche vers le bas 471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4717" name="Flèche vers le bas 471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4718" name="Flèche vers le bas 471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4719" name="Flèche vers le bas 471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4720" name="Flèche vers le bas 471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4721" name="Flèche vers le bas 472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4722" name="Flèche vers le bas 472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4723" name="Flèche vers le bas 472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4724" name="Flèche vers le bas 472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4725" name="Flèche vers le bas 472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4726" name="Flèche vers le bas 472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4727" name="Flèche vers le bas 472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4728" name="Flèche vers le bas 472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4729" name="Flèche vers le bas 472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4730" name="Flèche vers le bas 472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4731" name="Flèche vers le bas 473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4732" name="Flèche vers le bas 473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4733" name="Flèche vers le bas 473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4734" name="Flèche vers le bas 473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4735" name="Flèche vers le bas 473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4736" name="Flèche vers le bas 473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4737" name="Flèche vers le bas 473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4738" name="Flèche vers le bas 473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4739" name="Flèche vers le bas 473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4740" name="Flèche vers le bas 473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4741" name="Flèche vers le bas 474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4742" name="Flèche vers le bas 474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4743" name="Flèche vers le bas 474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4744" name="Flèche vers le bas 474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4745" name="Flèche vers le bas 474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4746" name="Flèche vers le bas 474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4747" name="Flèche vers le bas 474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4748" name="Flèche vers le bas 474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4749" name="Flèche vers le bas 474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4750" name="Flèche vers le bas 474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4751" name="Flèche vers le bas 475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4752" name="Flèche vers le bas 475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4753" name="Flèche vers le bas 475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4754" name="Flèche vers le bas 475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4755" name="Flèche vers le bas 475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4756" name="Flèche vers le bas 475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4757" name="Flèche vers le bas 475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4758" name="Flèche vers le bas 475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4759" name="Flèche vers le bas 475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4760" name="Flèche vers le bas 475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4761" name="Flèche vers le bas 476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4762" name="Flèche vers le bas 476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4763" name="Flèche vers le bas 476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4764" name="Flèche vers le bas 476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4765" name="Flèche vers le bas 476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4766" name="Flèche vers le bas 476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4767" name="Flèche vers le bas 476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4768" name="Flèche vers le bas 476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4769" name="Flèche vers le bas 476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4770" name="Flèche vers le bas 476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4771" name="Flèche vers le bas 477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4772" name="Flèche vers le bas 477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4773" name="Flèche vers le bas 477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4774" name="Flèche vers le bas 477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4775" name="Flèche vers le bas 477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4776" name="Flèche vers le bas 477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4777" name="Flèche vers le bas 477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4778" name="Flèche vers le bas 477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4779" name="Flèche vers le bas 477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4780" name="Flèche vers le bas 477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4781" name="Flèche vers le bas 478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4782" name="Flèche vers le bas 478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4783" name="Flèche vers le bas 478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4784" name="Flèche vers le bas 478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4785" name="Flèche vers le bas 478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4786" name="Flèche vers le bas 478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4787" name="Flèche vers le bas 478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4788" name="Flèche vers le bas 478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4789" name="Flèche vers le bas 478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4790" name="Flèche vers le bas 478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4791" name="Flèche vers le bas 479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4792" name="Flèche vers le bas 479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4793" name="Flèche vers le bas 479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4794" name="Flèche vers le bas 479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4795" name="Flèche vers le bas 479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4796" name="Flèche vers le bas 479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4797" name="Flèche vers le bas 479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4798" name="Flèche vers le bas 479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4799" name="Flèche vers le bas 479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4800" name="Flèche vers le bas 479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4801" name="Flèche vers le bas 480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4802" name="Flèche vers le bas 480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4803" name="Flèche vers le bas 480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4804" name="Flèche vers le bas 480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4805" name="Flèche vers le bas 480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4806" name="Flèche vers le bas 480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4807" name="Flèche vers le bas 480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4808" name="Flèche vers le bas 480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4809" name="Flèche vers le bas 480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4810" name="Flèche vers le bas 480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4811" name="Flèche vers le bas 481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4812" name="Flèche vers le bas 481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4813" name="Flèche vers le bas 481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4814" name="Flèche vers le bas 481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4815" name="Flèche vers le bas 481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4816" name="Flèche vers le bas 481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4817" name="Flèche vers le bas 481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4818" name="Flèche vers le bas 481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4819" name="Flèche vers le bas 481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4820" name="Flèche vers le bas 481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4821" name="Flèche vers le bas 482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4822" name="Flèche vers le bas 482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4823" name="Flèche vers le bas 482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4824" name="Flèche vers le bas 482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4825" name="Flèche vers le bas 482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4826" name="Flèche vers le bas 482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4827" name="Flèche vers le bas 482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4828" name="Flèche vers le bas 482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4829" name="Flèche vers le bas 482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4830" name="Flèche vers le bas 482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4831" name="Flèche vers le bas 483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4832" name="Flèche vers le bas 483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4833" name="Flèche vers le bas 483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4834" name="Flèche vers le bas 483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4835" name="Flèche vers le bas 483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4836" name="Flèche vers le bas 483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4837" name="Flèche vers le bas 483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4838" name="Flèche vers le bas 483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4839" name="Flèche vers le bas 483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4840" name="Flèche vers le bas 483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4841" name="Flèche vers le bas 484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4842" name="Flèche vers le bas 484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4843" name="Flèche vers le bas 484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4844" name="Flèche vers le bas 484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4845" name="Flèche vers le bas 484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4846" name="Flèche vers le bas 484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4847" name="Flèche vers le bas 484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4848" name="Flèche vers le bas 484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4849" name="Flèche vers le bas 484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4850" name="Flèche vers le bas 484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4851" name="Flèche vers le bas 485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4852" name="Flèche vers le bas 485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4853" name="Flèche vers le bas 485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4854" name="Flèche vers le bas 485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4855" name="Flèche vers le bas 485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4856" name="Flèche vers le bas 485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4857" name="Flèche vers le bas 485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4858" name="Flèche vers le bas 485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4859" name="Flèche vers le bas 485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4860" name="Flèche vers le bas 485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4861" name="Flèche vers le bas 486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4862" name="Flèche vers le bas 486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4863" name="Flèche vers le bas 486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4864" name="Flèche vers le bas 486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4865" name="Flèche vers le bas 486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4866" name="Flèche vers le bas 486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4867" name="Flèche vers le bas 486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4868" name="Flèche vers le bas 486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4869" name="Flèche vers le bas 486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4870" name="Flèche vers le bas 486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4871" name="Flèche vers le bas 487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4872" name="Flèche vers le bas 487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4873" name="Flèche vers le bas 487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4874" name="Flèche vers le bas 487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4875" name="Flèche vers le bas 487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4876" name="Flèche vers le bas 487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4877" name="Flèche vers le bas 487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4878" name="Flèche vers le bas 487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4879" name="Flèche vers le bas 487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4880" name="Flèche vers le bas 487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4881" name="Flèche vers le bas 488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4882" name="Flèche vers le bas 488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4883" name="Flèche vers le bas 488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4884" name="Flèche vers le bas 488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4885" name="Flèche vers le bas 488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4886" name="Flèche vers le bas 488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4887" name="Flèche vers le bas 488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4888" name="Flèche vers le bas 488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4889" name="Flèche vers le bas 488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4890" name="Flèche vers le bas 488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4891" name="Flèche vers le bas 489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4892" name="Flèche vers le bas 489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4893" name="Flèche vers le bas 489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4894" name="Flèche vers le bas 489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4895" name="Flèche vers le bas 489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4896" name="Flèche vers le bas 489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4897" name="Flèche vers le bas 489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4898" name="Flèche vers le bas 489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4899" name="Flèche vers le bas 489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4900" name="Flèche vers le bas 489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4901" name="Flèche vers le bas 490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4902" name="Flèche vers le bas 490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4903" name="Flèche vers le bas 490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4904" name="Flèche vers le bas 490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4905" name="Flèche vers le bas 490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4906" name="Flèche vers le bas 490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4907" name="Flèche vers le bas 490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4908" name="Flèche vers le bas 490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4909" name="Flèche vers le bas 490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4910" name="Flèche vers le bas 490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4911" name="Flèche vers le bas 491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4912" name="Flèche vers le bas 491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4913" name="Flèche vers le bas 491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4914" name="Flèche vers le bas 491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4915" name="Flèche vers le bas 491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4916" name="Flèche vers le bas 491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4917" name="Flèche vers le bas 491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4918" name="Flèche vers le bas 491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4919" name="Flèche vers le bas 491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4920" name="Flèche vers le bas 491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4921" name="Flèche vers le bas 492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4922" name="Flèche vers le bas 492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4923" name="Flèche vers le bas 492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4924" name="Flèche vers le bas 492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4925" name="Flèche vers le bas 492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4926" name="Flèche vers le bas 492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4927" name="Flèche vers le bas 492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4928" name="Flèche vers le bas 492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4929" name="Flèche vers le bas 492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4930" name="Flèche vers le bas 492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4931" name="Flèche vers le bas 493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4932" name="Flèche vers le bas 493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4933" name="Flèche vers le bas 493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4934" name="Flèche vers le bas 493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4935" name="Flèche vers le bas 493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4936" name="Flèche vers le bas 493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4937" name="Flèche vers le bas 493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4938" name="Flèche vers le bas 493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4939" name="Flèche vers le bas 493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4940" name="Flèche vers le bas 493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4941" name="Flèche vers le bas 494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4942" name="Flèche vers le bas 494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4943" name="Flèche vers le bas 494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4944" name="Flèche vers le bas 494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4945" name="Flèche vers le bas 494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4946" name="Flèche vers le bas 494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4947" name="Flèche vers le bas 494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4948" name="Flèche vers le bas 494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4949" name="Flèche vers le bas 494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4950" name="Flèche vers le bas 494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4951" name="Flèche vers le bas 495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4952" name="Flèche vers le bas 495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38</xdr:row>
      <xdr:rowOff>313765</xdr:rowOff>
    </xdr:from>
    <xdr:to>
      <xdr:col>0</xdr:col>
      <xdr:colOff>1165413</xdr:colOff>
      <xdr:row>39</xdr:row>
      <xdr:rowOff>44824</xdr:rowOff>
    </xdr:to>
    <xdr:sp macro="" textlink="">
      <xdr:nvSpPr>
        <xdr:cNvPr id="4953" name="Flèche vers le bas 495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38</xdr:row>
      <xdr:rowOff>313765</xdr:rowOff>
    </xdr:from>
    <xdr:to>
      <xdr:col>0</xdr:col>
      <xdr:colOff>1165413</xdr:colOff>
      <xdr:row>39</xdr:row>
      <xdr:rowOff>44824</xdr:rowOff>
    </xdr:to>
    <xdr:sp macro="" textlink="">
      <xdr:nvSpPr>
        <xdr:cNvPr id="4954" name="Flèche vers le bas 495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38</xdr:row>
      <xdr:rowOff>313765</xdr:rowOff>
    </xdr:from>
    <xdr:to>
      <xdr:col>0</xdr:col>
      <xdr:colOff>1165413</xdr:colOff>
      <xdr:row>39</xdr:row>
      <xdr:rowOff>44824</xdr:rowOff>
    </xdr:to>
    <xdr:sp macro="" textlink="">
      <xdr:nvSpPr>
        <xdr:cNvPr id="4955" name="Flèche vers le bas 495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38</xdr:row>
      <xdr:rowOff>313765</xdr:rowOff>
    </xdr:from>
    <xdr:to>
      <xdr:col>0</xdr:col>
      <xdr:colOff>1165413</xdr:colOff>
      <xdr:row>39</xdr:row>
      <xdr:rowOff>44824</xdr:rowOff>
    </xdr:to>
    <xdr:sp macro="" textlink="">
      <xdr:nvSpPr>
        <xdr:cNvPr id="4956" name="Flèche vers le bas 495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38</xdr:row>
      <xdr:rowOff>313765</xdr:rowOff>
    </xdr:from>
    <xdr:to>
      <xdr:col>0</xdr:col>
      <xdr:colOff>1165413</xdr:colOff>
      <xdr:row>39</xdr:row>
      <xdr:rowOff>44824</xdr:rowOff>
    </xdr:to>
    <xdr:sp macro="" textlink="">
      <xdr:nvSpPr>
        <xdr:cNvPr id="4957" name="Flèche vers le bas 495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38</xdr:row>
      <xdr:rowOff>313765</xdr:rowOff>
    </xdr:from>
    <xdr:to>
      <xdr:col>0</xdr:col>
      <xdr:colOff>1165413</xdr:colOff>
      <xdr:row>39</xdr:row>
      <xdr:rowOff>44824</xdr:rowOff>
    </xdr:to>
    <xdr:sp macro="" textlink="">
      <xdr:nvSpPr>
        <xdr:cNvPr id="4958" name="Flèche vers le bas 495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38</xdr:row>
      <xdr:rowOff>313765</xdr:rowOff>
    </xdr:from>
    <xdr:to>
      <xdr:col>0</xdr:col>
      <xdr:colOff>1165413</xdr:colOff>
      <xdr:row>39</xdr:row>
      <xdr:rowOff>44824</xdr:rowOff>
    </xdr:to>
    <xdr:sp macro="" textlink="">
      <xdr:nvSpPr>
        <xdr:cNvPr id="4959" name="Flèche vers le bas 495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38</xdr:row>
      <xdr:rowOff>313765</xdr:rowOff>
    </xdr:from>
    <xdr:to>
      <xdr:col>0</xdr:col>
      <xdr:colOff>1165413</xdr:colOff>
      <xdr:row>39</xdr:row>
      <xdr:rowOff>44824</xdr:rowOff>
    </xdr:to>
    <xdr:sp macro="" textlink="">
      <xdr:nvSpPr>
        <xdr:cNvPr id="4960" name="Flèche vers le bas 495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38</xdr:row>
      <xdr:rowOff>313765</xdr:rowOff>
    </xdr:from>
    <xdr:to>
      <xdr:col>0</xdr:col>
      <xdr:colOff>1165413</xdr:colOff>
      <xdr:row>39</xdr:row>
      <xdr:rowOff>44824</xdr:rowOff>
    </xdr:to>
    <xdr:sp macro="" textlink="">
      <xdr:nvSpPr>
        <xdr:cNvPr id="4961" name="Flèche vers le bas 496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38</xdr:row>
      <xdr:rowOff>313765</xdr:rowOff>
    </xdr:from>
    <xdr:to>
      <xdr:col>0</xdr:col>
      <xdr:colOff>1165413</xdr:colOff>
      <xdr:row>39</xdr:row>
      <xdr:rowOff>44824</xdr:rowOff>
    </xdr:to>
    <xdr:sp macro="" textlink="">
      <xdr:nvSpPr>
        <xdr:cNvPr id="4962" name="Flèche vers le bas 496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39</xdr:row>
      <xdr:rowOff>313765</xdr:rowOff>
    </xdr:from>
    <xdr:to>
      <xdr:col>0</xdr:col>
      <xdr:colOff>1165413</xdr:colOff>
      <xdr:row>40</xdr:row>
      <xdr:rowOff>44824</xdr:rowOff>
    </xdr:to>
    <xdr:sp macro="" textlink="">
      <xdr:nvSpPr>
        <xdr:cNvPr id="4963" name="Flèche vers le bas 496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39</xdr:row>
      <xdr:rowOff>313765</xdr:rowOff>
    </xdr:from>
    <xdr:to>
      <xdr:col>0</xdr:col>
      <xdr:colOff>1165413</xdr:colOff>
      <xdr:row>40</xdr:row>
      <xdr:rowOff>44824</xdr:rowOff>
    </xdr:to>
    <xdr:sp macro="" textlink="">
      <xdr:nvSpPr>
        <xdr:cNvPr id="4964" name="Flèche vers le bas 496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39</xdr:row>
      <xdr:rowOff>313765</xdr:rowOff>
    </xdr:from>
    <xdr:to>
      <xdr:col>0</xdr:col>
      <xdr:colOff>1165413</xdr:colOff>
      <xdr:row>40</xdr:row>
      <xdr:rowOff>44824</xdr:rowOff>
    </xdr:to>
    <xdr:sp macro="" textlink="">
      <xdr:nvSpPr>
        <xdr:cNvPr id="4965" name="Flèche vers le bas 496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39</xdr:row>
      <xdr:rowOff>313765</xdr:rowOff>
    </xdr:from>
    <xdr:to>
      <xdr:col>0</xdr:col>
      <xdr:colOff>1165413</xdr:colOff>
      <xdr:row>40</xdr:row>
      <xdr:rowOff>44824</xdr:rowOff>
    </xdr:to>
    <xdr:sp macro="" textlink="">
      <xdr:nvSpPr>
        <xdr:cNvPr id="4966" name="Flèche vers le bas 496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39</xdr:row>
      <xdr:rowOff>313765</xdr:rowOff>
    </xdr:from>
    <xdr:to>
      <xdr:col>0</xdr:col>
      <xdr:colOff>1165413</xdr:colOff>
      <xdr:row>40</xdr:row>
      <xdr:rowOff>44824</xdr:rowOff>
    </xdr:to>
    <xdr:sp macro="" textlink="">
      <xdr:nvSpPr>
        <xdr:cNvPr id="4967" name="Flèche vers le bas 496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39</xdr:row>
      <xdr:rowOff>313765</xdr:rowOff>
    </xdr:from>
    <xdr:to>
      <xdr:col>0</xdr:col>
      <xdr:colOff>1165413</xdr:colOff>
      <xdr:row>40</xdr:row>
      <xdr:rowOff>44824</xdr:rowOff>
    </xdr:to>
    <xdr:sp macro="" textlink="">
      <xdr:nvSpPr>
        <xdr:cNvPr id="4968" name="Flèche vers le bas 496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39</xdr:row>
      <xdr:rowOff>313765</xdr:rowOff>
    </xdr:from>
    <xdr:to>
      <xdr:col>0</xdr:col>
      <xdr:colOff>1165413</xdr:colOff>
      <xdr:row>40</xdr:row>
      <xdr:rowOff>44824</xdr:rowOff>
    </xdr:to>
    <xdr:sp macro="" textlink="">
      <xdr:nvSpPr>
        <xdr:cNvPr id="4969" name="Flèche vers le bas 496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39</xdr:row>
      <xdr:rowOff>313765</xdr:rowOff>
    </xdr:from>
    <xdr:to>
      <xdr:col>0</xdr:col>
      <xdr:colOff>1165413</xdr:colOff>
      <xdr:row>40</xdr:row>
      <xdr:rowOff>44824</xdr:rowOff>
    </xdr:to>
    <xdr:sp macro="" textlink="">
      <xdr:nvSpPr>
        <xdr:cNvPr id="4970" name="Flèche vers le bas 496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39</xdr:row>
      <xdr:rowOff>313765</xdr:rowOff>
    </xdr:from>
    <xdr:to>
      <xdr:col>0</xdr:col>
      <xdr:colOff>1165413</xdr:colOff>
      <xdr:row>40</xdr:row>
      <xdr:rowOff>44824</xdr:rowOff>
    </xdr:to>
    <xdr:sp macro="" textlink="">
      <xdr:nvSpPr>
        <xdr:cNvPr id="4971" name="Flèche vers le bas 497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39</xdr:row>
      <xdr:rowOff>313765</xdr:rowOff>
    </xdr:from>
    <xdr:to>
      <xdr:col>0</xdr:col>
      <xdr:colOff>1165413</xdr:colOff>
      <xdr:row>40</xdr:row>
      <xdr:rowOff>44824</xdr:rowOff>
    </xdr:to>
    <xdr:sp macro="" textlink="">
      <xdr:nvSpPr>
        <xdr:cNvPr id="4972" name="Flèche vers le bas 497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40</xdr:row>
      <xdr:rowOff>313765</xdr:rowOff>
    </xdr:from>
    <xdr:to>
      <xdr:col>0</xdr:col>
      <xdr:colOff>1165413</xdr:colOff>
      <xdr:row>41</xdr:row>
      <xdr:rowOff>44824</xdr:rowOff>
    </xdr:to>
    <xdr:sp macro="" textlink="">
      <xdr:nvSpPr>
        <xdr:cNvPr id="4973" name="Flèche vers le bas 497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40</xdr:row>
      <xdr:rowOff>313765</xdr:rowOff>
    </xdr:from>
    <xdr:to>
      <xdr:col>0</xdr:col>
      <xdr:colOff>1165413</xdr:colOff>
      <xdr:row>41</xdr:row>
      <xdr:rowOff>44824</xdr:rowOff>
    </xdr:to>
    <xdr:sp macro="" textlink="">
      <xdr:nvSpPr>
        <xdr:cNvPr id="4974" name="Flèche vers le bas 497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40</xdr:row>
      <xdr:rowOff>313765</xdr:rowOff>
    </xdr:from>
    <xdr:to>
      <xdr:col>0</xdr:col>
      <xdr:colOff>1165413</xdr:colOff>
      <xdr:row>41</xdr:row>
      <xdr:rowOff>44824</xdr:rowOff>
    </xdr:to>
    <xdr:sp macro="" textlink="">
      <xdr:nvSpPr>
        <xdr:cNvPr id="4975" name="Flèche vers le bas 497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40</xdr:row>
      <xdr:rowOff>313765</xdr:rowOff>
    </xdr:from>
    <xdr:to>
      <xdr:col>0</xdr:col>
      <xdr:colOff>1165413</xdr:colOff>
      <xdr:row>41</xdr:row>
      <xdr:rowOff>44824</xdr:rowOff>
    </xdr:to>
    <xdr:sp macro="" textlink="">
      <xdr:nvSpPr>
        <xdr:cNvPr id="4976" name="Flèche vers le bas 497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40</xdr:row>
      <xdr:rowOff>313765</xdr:rowOff>
    </xdr:from>
    <xdr:to>
      <xdr:col>0</xdr:col>
      <xdr:colOff>1165413</xdr:colOff>
      <xdr:row>41</xdr:row>
      <xdr:rowOff>44824</xdr:rowOff>
    </xdr:to>
    <xdr:sp macro="" textlink="">
      <xdr:nvSpPr>
        <xdr:cNvPr id="4977" name="Flèche vers le bas 497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40</xdr:row>
      <xdr:rowOff>313765</xdr:rowOff>
    </xdr:from>
    <xdr:to>
      <xdr:col>0</xdr:col>
      <xdr:colOff>1165413</xdr:colOff>
      <xdr:row>41</xdr:row>
      <xdr:rowOff>44824</xdr:rowOff>
    </xdr:to>
    <xdr:sp macro="" textlink="">
      <xdr:nvSpPr>
        <xdr:cNvPr id="4978" name="Flèche vers le bas 497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40</xdr:row>
      <xdr:rowOff>313765</xdr:rowOff>
    </xdr:from>
    <xdr:to>
      <xdr:col>0</xdr:col>
      <xdr:colOff>1165413</xdr:colOff>
      <xdr:row>41</xdr:row>
      <xdr:rowOff>44824</xdr:rowOff>
    </xdr:to>
    <xdr:sp macro="" textlink="">
      <xdr:nvSpPr>
        <xdr:cNvPr id="4979" name="Flèche vers le bas 497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40</xdr:row>
      <xdr:rowOff>313765</xdr:rowOff>
    </xdr:from>
    <xdr:to>
      <xdr:col>0</xdr:col>
      <xdr:colOff>1165413</xdr:colOff>
      <xdr:row>41</xdr:row>
      <xdr:rowOff>44824</xdr:rowOff>
    </xdr:to>
    <xdr:sp macro="" textlink="">
      <xdr:nvSpPr>
        <xdr:cNvPr id="4980" name="Flèche vers le bas 497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40</xdr:row>
      <xdr:rowOff>313765</xdr:rowOff>
    </xdr:from>
    <xdr:to>
      <xdr:col>0</xdr:col>
      <xdr:colOff>1165413</xdr:colOff>
      <xdr:row>41</xdr:row>
      <xdr:rowOff>44824</xdr:rowOff>
    </xdr:to>
    <xdr:sp macro="" textlink="">
      <xdr:nvSpPr>
        <xdr:cNvPr id="4981" name="Flèche vers le bas 498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40</xdr:row>
      <xdr:rowOff>313765</xdr:rowOff>
    </xdr:from>
    <xdr:to>
      <xdr:col>0</xdr:col>
      <xdr:colOff>1165413</xdr:colOff>
      <xdr:row>41</xdr:row>
      <xdr:rowOff>44824</xdr:rowOff>
    </xdr:to>
    <xdr:sp macro="" textlink="">
      <xdr:nvSpPr>
        <xdr:cNvPr id="4982" name="Flèche vers le bas 498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41</xdr:row>
      <xdr:rowOff>313765</xdr:rowOff>
    </xdr:from>
    <xdr:to>
      <xdr:col>0</xdr:col>
      <xdr:colOff>1165413</xdr:colOff>
      <xdr:row>42</xdr:row>
      <xdr:rowOff>44824</xdr:rowOff>
    </xdr:to>
    <xdr:sp macro="" textlink="">
      <xdr:nvSpPr>
        <xdr:cNvPr id="4983" name="Flèche vers le bas 498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41</xdr:row>
      <xdr:rowOff>313765</xdr:rowOff>
    </xdr:from>
    <xdr:to>
      <xdr:col>0</xdr:col>
      <xdr:colOff>1165413</xdr:colOff>
      <xdr:row>42</xdr:row>
      <xdr:rowOff>44824</xdr:rowOff>
    </xdr:to>
    <xdr:sp macro="" textlink="">
      <xdr:nvSpPr>
        <xdr:cNvPr id="4984" name="Flèche vers le bas 498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41</xdr:row>
      <xdr:rowOff>313765</xdr:rowOff>
    </xdr:from>
    <xdr:to>
      <xdr:col>0</xdr:col>
      <xdr:colOff>1165413</xdr:colOff>
      <xdr:row>42</xdr:row>
      <xdr:rowOff>44824</xdr:rowOff>
    </xdr:to>
    <xdr:sp macro="" textlink="">
      <xdr:nvSpPr>
        <xdr:cNvPr id="4985" name="Flèche vers le bas 498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41</xdr:row>
      <xdr:rowOff>313765</xdr:rowOff>
    </xdr:from>
    <xdr:to>
      <xdr:col>0</xdr:col>
      <xdr:colOff>1165413</xdr:colOff>
      <xdr:row>42</xdr:row>
      <xdr:rowOff>44824</xdr:rowOff>
    </xdr:to>
    <xdr:sp macro="" textlink="">
      <xdr:nvSpPr>
        <xdr:cNvPr id="4986" name="Flèche vers le bas 498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41</xdr:row>
      <xdr:rowOff>313765</xdr:rowOff>
    </xdr:from>
    <xdr:to>
      <xdr:col>0</xdr:col>
      <xdr:colOff>1165413</xdr:colOff>
      <xdr:row>42</xdr:row>
      <xdr:rowOff>44824</xdr:rowOff>
    </xdr:to>
    <xdr:sp macro="" textlink="">
      <xdr:nvSpPr>
        <xdr:cNvPr id="4987" name="Flèche vers le bas 498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41</xdr:row>
      <xdr:rowOff>313765</xdr:rowOff>
    </xdr:from>
    <xdr:to>
      <xdr:col>0</xdr:col>
      <xdr:colOff>1165413</xdr:colOff>
      <xdr:row>42</xdr:row>
      <xdr:rowOff>44824</xdr:rowOff>
    </xdr:to>
    <xdr:sp macro="" textlink="">
      <xdr:nvSpPr>
        <xdr:cNvPr id="4988" name="Flèche vers le bas 498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41</xdr:row>
      <xdr:rowOff>313765</xdr:rowOff>
    </xdr:from>
    <xdr:to>
      <xdr:col>0</xdr:col>
      <xdr:colOff>1165413</xdr:colOff>
      <xdr:row>42</xdr:row>
      <xdr:rowOff>44824</xdr:rowOff>
    </xdr:to>
    <xdr:sp macro="" textlink="">
      <xdr:nvSpPr>
        <xdr:cNvPr id="4989" name="Flèche vers le bas 498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41</xdr:row>
      <xdr:rowOff>313765</xdr:rowOff>
    </xdr:from>
    <xdr:to>
      <xdr:col>0</xdr:col>
      <xdr:colOff>1165413</xdr:colOff>
      <xdr:row>42</xdr:row>
      <xdr:rowOff>44824</xdr:rowOff>
    </xdr:to>
    <xdr:sp macro="" textlink="">
      <xdr:nvSpPr>
        <xdr:cNvPr id="4990" name="Flèche vers le bas 498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41</xdr:row>
      <xdr:rowOff>313765</xdr:rowOff>
    </xdr:from>
    <xdr:to>
      <xdr:col>0</xdr:col>
      <xdr:colOff>1165413</xdr:colOff>
      <xdr:row>42</xdr:row>
      <xdr:rowOff>44824</xdr:rowOff>
    </xdr:to>
    <xdr:sp macro="" textlink="">
      <xdr:nvSpPr>
        <xdr:cNvPr id="4991" name="Flèche vers le bas 499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41</xdr:row>
      <xdr:rowOff>313765</xdr:rowOff>
    </xdr:from>
    <xdr:to>
      <xdr:col>0</xdr:col>
      <xdr:colOff>1165413</xdr:colOff>
      <xdr:row>42</xdr:row>
      <xdr:rowOff>44824</xdr:rowOff>
    </xdr:to>
    <xdr:sp macro="" textlink="">
      <xdr:nvSpPr>
        <xdr:cNvPr id="4992" name="Flèche vers le bas 499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42</xdr:row>
      <xdr:rowOff>313765</xdr:rowOff>
    </xdr:from>
    <xdr:to>
      <xdr:col>0</xdr:col>
      <xdr:colOff>1165413</xdr:colOff>
      <xdr:row>43</xdr:row>
      <xdr:rowOff>44824</xdr:rowOff>
    </xdr:to>
    <xdr:sp macro="" textlink="">
      <xdr:nvSpPr>
        <xdr:cNvPr id="4993" name="Flèche vers le bas 499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42</xdr:row>
      <xdr:rowOff>313765</xdr:rowOff>
    </xdr:from>
    <xdr:to>
      <xdr:col>0</xdr:col>
      <xdr:colOff>1165413</xdr:colOff>
      <xdr:row>43</xdr:row>
      <xdr:rowOff>44824</xdr:rowOff>
    </xdr:to>
    <xdr:sp macro="" textlink="">
      <xdr:nvSpPr>
        <xdr:cNvPr id="4994" name="Flèche vers le bas 499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42</xdr:row>
      <xdr:rowOff>313765</xdr:rowOff>
    </xdr:from>
    <xdr:to>
      <xdr:col>0</xdr:col>
      <xdr:colOff>1165413</xdr:colOff>
      <xdr:row>43</xdr:row>
      <xdr:rowOff>44824</xdr:rowOff>
    </xdr:to>
    <xdr:sp macro="" textlink="">
      <xdr:nvSpPr>
        <xdr:cNvPr id="4995" name="Flèche vers le bas 499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42</xdr:row>
      <xdr:rowOff>313765</xdr:rowOff>
    </xdr:from>
    <xdr:to>
      <xdr:col>0</xdr:col>
      <xdr:colOff>1165413</xdr:colOff>
      <xdr:row>43</xdr:row>
      <xdr:rowOff>44824</xdr:rowOff>
    </xdr:to>
    <xdr:sp macro="" textlink="">
      <xdr:nvSpPr>
        <xdr:cNvPr id="4996" name="Flèche vers le bas 499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42</xdr:row>
      <xdr:rowOff>313765</xdr:rowOff>
    </xdr:from>
    <xdr:to>
      <xdr:col>0</xdr:col>
      <xdr:colOff>1165413</xdr:colOff>
      <xdr:row>43</xdr:row>
      <xdr:rowOff>44824</xdr:rowOff>
    </xdr:to>
    <xdr:sp macro="" textlink="">
      <xdr:nvSpPr>
        <xdr:cNvPr id="4997" name="Flèche vers le bas 499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42</xdr:row>
      <xdr:rowOff>313765</xdr:rowOff>
    </xdr:from>
    <xdr:to>
      <xdr:col>0</xdr:col>
      <xdr:colOff>1165413</xdr:colOff>
      <xdr:row>43</xdr:row>
      <xdr:rowOff>44824</xdr:rowOff>
    </xdr:to>
    <xdr:sp macro="" textlink="">
      <xdr:nvSpPr>
        <xdr:cNvPr id="4998" name="Flèche vers le bas 499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42</xdr:row>
      <xdr:rowOff>313765</xdr:rowOff>
    </xdr:from>
    <xdr:to>
      <xdr:col>0</xdr:col>
      <xdr:colOff>1165413</xdr:colOff>
      <xdr:row>43</xdr:row>
      <xdr:rowOff>44824</xdr:rowOff>
    </xdr:to>
    <xdr:sp macro="" textlink="">
      <xdr:nvSpPr>
        <xdr:cNvPr id="4999" name="Flèche vers le bas 499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42</xdr:row>
      <xdr:rowOff>313765</xdr:rowOff>
    </xdr:from>
    <xdr:to>
      <xdr:col>0</xdr:col>
      <xdr:colOff>1165413</xdr:colOff>
      <xdr:row>43</xdr:row>
      <xdr:rowOff>44824</xdr:rowOff>
    </xdr:to>
    <xdr:sp macro="" textlink="">
      <xdr:nvSpPr>
        <xdr:cNvPr id="5000" name="Flèche vers le bas 499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42</xdr:row>
      <xdr:rowOff>313765</xdr:rowOff>
    </xdr:from>
    <xdr:to>
      <xdr:col>0</xdr:col>
      <xdr:colOff>1165413</xdr:colOff>
      <xdr:row>43</xdr:row>
      <xdr:rowOff>44824</xdr:rowOff>
    </xdr:to>
    <xdr:sp macro="" textlink="">
      <xdr:nvSpPr>
        <xdr:cNvPr id="5001" name="Flèche vers le bas 500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42</xdr:row>
      <xdr:rowOff>313765</xdr:rowOff>
    </xdr:from>
    <xdr:to>
      <xdr:col>0</xdr:col>
      <xdr:colOff>1165413</xdr:colOff>
      <xdr:row>43</xdr:row>
      <xdr:rowOff>44824</xdr:rowOff>
    </xdr:to>
    <xdr:sp macro="" textlink="">
      <xdr:nvSpPr>
        <xdr:cNvPr id="5002" name="Flèche vers le bas 500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43</xdr:row>
      <xdr:rowOff>313765</xdr:rowOff>
    </xdr:from>
    <xdr:to>
      <xdr:col>0</xdr:col>
      <xdr:colOff>1165413</xdr:colOff>
      <xdr:row>44</xdr:row>
      <xdr:rowOff>44824</xdr:rowOff>
    </xdr:to>
    <xdr:sp macro="" textlink="">
      <xdr:nvSpPr>
        <xdr:cNvPr id="5003" name="Flèche vers le bas 500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43</xdr:row>
      <xdr:rowOff>313765</xdr:rowOff>
    </xdr:from>
    <xdr:to>
      <xdr:col>0</xdr:col>
      <xdr:colOff>1165413</xdr:colOff>
      <xdr:row>44</xdr:row>
      <xdr:rowOff>44824</xdr:rowOff>
    </xdr:to>
    <xdr:sp macro="" textlink="">
      <xdr:nvSpPr>
        <xdr:cNvPr id="5004" name="Flèche vers le bas 500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43</xdr:row>
      <xdr:rowOff>313765</xdr:rowOff>
    </xdr:from>
    <xdr:to>
      <xdr:col>0</xdr:col>
      <xdr:colOff>1165413</xdr:colOff>
      <xdr:row>44</xdr:row>
      <xdr:rowOff>44824</xdr:rowOff>
    </xdr:to>
    <xdr:sp macro="" textlink="">
      <xdr:nvSpPr>
        <xdr:cNvPr id="5005" name="Flèche vers le bas 500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43</xdr:row>
      <xdr:rowOff>313765</xdr:rowOff>
    </xdr:from>
    <xdr:to>
      <xdr:col>0</xdr:col>
      <xdr:colOff>1165413</xdr:colOff>
      <xdr:row>44</xdr:row>
      <xdr:rowOff>44824</xdr:rowOff>
    </xdr:to>
    <xdr:sp macro="" textlink="">
      <xdr:nvSpPr>
        <xdr:cNvPr id="5006" name="Flèche vers le bas 500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43</xdr:row>
      <xdr:rowOff>313765</xdr:rowOff>
    </xdr:from>
    <xdr:to>
      <xdr:col>0</xdr:col>
      <xdr:colOff>1165413</xdr:colOff>
      <xdr:row>44</xdr:row>
      <xdr:rowOff>44824</xdr:rowOff>
    </xdr:to>
    <xdr:sp macro="" textlink="">
      <xdr:nvSpPr>
        <xdr:cNvPr id="5007" name="Flèche vers le bas 500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43</xdr:row>
      <xdr:rowOff>313765</xdr:rowOff>
    </xdr:from>
    <xdr:to>
      <xdr:col>0</xdr:col>
      <xdr:colOff>1165413</xdr:colOff>
      <xdr:row>44</xdr:row>
      <xdr:rowOff>44824</xdr:rowOff>
    </xdr:to>
    <xdr:sp macro="" textlink="">
      <xdr:nvSpPr>
        <xdr:cNvPr id="5008" name="Flèche vers le bas 500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43</xdr:row>
      <xdr:rowOff>313765</xdr:rowOff>
    </xdr:from>
    <xdr:to>
      <xdr:col>0</xdr:col>
      <xdr:colOff>1165413</xdr:colOff>
      <xdr:row>44</xdr:row>
      <xdr:rowOff>44824</xdr:rowOff>
    </xdr:to>
    <xdr:sp macro="" textlink="">
      <xdr:nvSpPr>
        <xdr:cNvPr id="5009" name="Flèche vers le bas 500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43</xdr:row>
      <xdr:rowOff>313765</xdr:rowOff>
    </xdr:from>
    <xdr:to>
      <xdr:col>0</xdr:col>
      <xdr:colOff>1165413</xdr:colOff>
      <xdr:row>44</xdr:row>
      <xdr:rowOff>44824</xdr:rowOff>
    </xdr:to>
    <xdr:sp macro="" textlink="">
      <xdr:nvSpPr>
        <xdr:cNvPr id="5010" name="Flèche vers le bas 500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43</xdr:row>
      <xdr:rowOff>313765</xdr:rowOff>
    </xdr:from>
    <xdr:to>
      <xdr:col>0</xdr:col>
      <xdr:colOff>1165413</xdr:colOff>
      <xdr:row>44</xdr:row>
      <xdr:rowOff>44824</xdr:rowOff>
    </xdr:to>
    <xdr:sp macro="" textlink="">
      <xdr:nvSpPr>
        <xdr:cNvPr id="5011" name="Flèche vers le bas 501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43</xdr:row>
      <xdr:rowOff>313765</xdr:rowOff>
    </xdr:from>
    <xdr:to>
      <xdr:col>0</xdr:col>
      <xdr:colOff>1165413</xdr:colOff>
      <xdr:row>44</xdr:row>
      <xdr:rowOff>44824</xdr:rowOff>
    </xdr:to>
    <xdr:sp macro="" textlink="">
      <xdr:nvSpPr>
        <xdr:cNvPr id="5012" name="Flèche vers le bas 501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44</xdr:row>
      <xdr:rowOff>313765</xdr:rowOff>
    </xdr:from>
    <xdr:to>
      <xdr:col>0</xdr:col>
      <xdr:colOff>1165413</xdr:colOff>
      <xdr:row>45</xdr:row>
      <xdr:rowOff>44824</xdr:rowOff>
    </xdr:to>
    <xdr:sp macro="" textlink="">
      <xdr:nvSpPr>
        <xdr:cNvPr id="5013" name="Flèche vers le bas 501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44</xdr:row>
      <xdr:rowOff>313765</xdr:rowOff>
    </xdr:from>
    <xdr:to>
      <xdr:col>0</xdr:col>
      <xdr:colOff>1165413</xdr:colOff>
      <xdr:row>45</xdr:row>
      <xdr:rowOff>44824</xdr:rowOff>
    </xdr:to>
    <xdr:sp macro="" textlink="">
      <xdr:nvSpPr>
        <xdr:cNvPr id="5014" name="Flèche vers le bas 501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44</xdr:row>
      <xdr:rowOff>313765</xdr:rowOff>
    </xdr:from>
    <xdr:to>
      <xdr:col>0</xdr:col>
      <xdr:colOff>1165413</xdr:colOff>
      <xdr:row>45</xdr:row>
      <xdr:rowOff>44824</xdr:rowOff>
    </xdr:to>
    <xdr:sp macro="" textlink="">
      <xdr:nvSpPr>
        <xdr:cNvPr id="5015" name="Flèche vers le bas 501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44</xdr:row>
      <xdr:rowOff>313765</xdr:rowOff>
    </xdr:from>
    <xdr:to>
      <xdr:col>0</xdr:col>
      <xdr:colOff>1165413</xdr:colOff>
      <xdr:row>45</xdr:row>
      <xdr:rowOff>44824</xdr:rowOff>
    </xdr:to>
    <xdr:sp macro="" textlink="">
      <xdr:nvSpPr>
        <xdr:cNvPr id="5016" name="Flèche vers le bas 501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44</xdr:row>
      <xdr:rowOff>313765</xdr:rowOff>
    </xdr:from>
    <xdr:to>
      <xdr:col>0</xdr:col>
      <xdr:colOff>1165413</xdr:colOff>
      <xdr:row>45</xdr:row>
      <xdr:rowOff>44824</xdr:rowOff>
    </xdr:to>
    <xdr:sp macro="" textlink="">
      <xdr:nvSpPr>
        <xdr:cNvPr id="5017" name="Flèche vers le bas 501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44</xdr:row>
      <xdr:rowOff>313765</xdr:rowOff>
    </xdr:from>
    <xdr:to>
      <xdr:col>0</xdr:col>
      <xdr:colOff>1165413</xdr:colOff>
      <xdr:row>45</xdr:row>
      <xdr:rowOff>44824</xdr:rowOff>
    </xdr:to>
    <xdr:sp macro="" textlink="">
      <xdr:nvSpPr>
        <xdr:cNvPr id="5018" name="Flèche vers le bas 501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44</xdr:row>
      <xdr:rowOff>313765</xdr:rowOff>
    </xdr:from>
    <xdr:to>
      <xdr:col>0</xdr:col>
      <xdr:colOff>1165413</xdr:colOff>
      <xdr:row>45</xdr:row>
      <xdr:rowOff>44824</xdr:rowOff>
    </xdr:to>
    <xdr:sp macro="" textlink="">
      <xdr:nvSpPr>
        <xdr:cNvPr id="5019" name="Flèche vers le bas 501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44</xdr:row>
      <xdr:rowOff>313765</xdr:rowOff>
    </xdr:from>
    <xdr:to>
      <xdr:col>0</xdr:col>
      <xdr:colOff>1165413</xdr:colOff>
      <xdr:row>45</xdr:row>
      <xdr:rowOff>44824</xdr:rowOff>
    </xdr:to>
    <xdr:sp macro="" textlink="">
      <xdr:nvSpPr>
        <xdr:cNvPr id="5020" name="Flèche vers le bas 501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44</xdr:row>
      <xdr:rowOff>313765</xdr:rowOff>
    </xdr:from>
    <xdr:to>
      <xdr:col>0</xdr:col>
      <xdr:colOff>1165413</xdr:colOff>
      <xdr:row>45</xdr:row>
      <xdr:rowOff>44824</xdr:rowOff>
    </xdr:to>
    <xdr:sp macro="" textlink="">
      <xdr:nvSpPr>
        <xdr:cNvPr id="5021" name="Flèche vers le bas 502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44</xdr:row>
      <xdr:rowOff>313765</xdr:rowOff>
    </xdr:from>
    <xdr:to>
      <xdr:col>0</xdr:col>
      <xdr:colOff>1165413</xdr:colOff>
      <xdr:row>45</xdr:row>
      <xdr:rowOff>44824</xdr:rowOff>
    </xdr:to>
    <xdr:sp macro="" textlink="">
      <xdr:nvSpPr>
        <xdr:cNvPr id="5022" name="Flèche vers le bas 502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45</xdr:row>
      <xdr:rowOff>313765</xdr:rowOff>
    </xdr:from>
    <xdr:to>
      <xdr:col>0</xdr:col>
      <xdr:colOff>1165413</xdr:colOff>
      <xdr:row>46</xdr:row>
      <xdr:rowOff>44824</xdr:rowOff>
    </xdr:to>
    <xdr:sp macro="" textlink="">
      <xdr:nvSpPr>
        <xdr:cNvPr id="5023" name="Flèche vers le bas 502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45</xdr:row>
      <xdr:rowOff>313765</xdr:rowOff>
    </xdr:from>
    <xdr:to>
      <xdr:col>0</xdr:col>
      <xdr:colOff>1165413</xdr:colOff>
      <xdr:row>46</xdr:row>
      <xdr:rowOff>44824</xdr:rowOff>
    </xdr:to>
    <xdr:sp macro="" textlink="">
      <xdr:nvSpPr>
        <xdr:cNvPr id="5024" name="Flèche vers le bas 502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45</xdr:row>
      <xdr:rowOff>313765</xdr:rowOff>
    </xdr:from>
    <xdr:to>
      <xdr:col>0</xdr:col>
      <xdr:colOff>1165413</xdr:colOff>
      <xdr:row>46</xdr:row>
      <xdr:rowOff>44824</xdr:rowOff>
    </xdr:to>
    <xdr:sp macro="" textlink="">
      <xdr:nvSpPr>
        <xdr:cNvPr id="5025" name="Flèche vers le bas 502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45</xdr:row>
      <xdr:rowOff>313765</xdr:rowOff>
    </xdr:from>
    <xdr:to>
      <xdr:col>0</xdr:col>
      <xdr:colOff>1165413</xdr:colOff>
      <xdr:row>46</xdr:row>
      <xdr:rowOff>44824</xdr:rowOff>
    </xdr:to>
    <xdr:sp macro="" textlink="">
      <xdr:nvSpPr>
        <xdr:cNvPr id="5026" name="Flèche vers le bas 502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45</xdr:row>
      <xdr:rowOff>313765</xdr:rowOff>
    </xdr:from>
    <xdr:to>
      <xdr:col>0</xdr:col>
      <xdr:colOff>1165413</xdr:colOff>
      <xdr:row>46</xdr:row>
      <xdr:rowOff>44824</xdr:rowOff>
    </xdr:to>
    <xdr:sp macro="" textlink="">
      <xdr:nvSpPr>
        <xdr:cNvPr id="5027" name="Flèche vers le bas 502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45</xdr:row>
      <xdr:rowOff>313765</xdr:rowOff>
    </xdr:from>
    <xdr:to>
      <xdr:col>0</xdr:col>
      <xdr:colOff>1165413</xdr:colOff>
      <xdr:row>46</xdr:row>
      <xdr:rowOff>44824</xdr:rowOff>
    </xdr:to>
    <xdr:sp macro="" textlink="">
      <xdr:nvSpPr>
        <xdr:cNvPr id="5028" name="Flèche vers le bas 502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45</xdr:row>
      <xdr:rowOff>313765</xdr:rowOff>
    </xdr:from>
    <xdr:to>
      <xdr:col>0</xdr:col>
      <xdr:colOff>1165413</xdr:colOff>
      <xdr:row>46</xdr:row>
      <xdr:rowOff>44824</xdr:rowOff>
    </xdr:to>
    <xdr:sp macro="" textlink="">
      <xdr:nvSpPr>
        <xdr:cNvPr id="5029" name="Flèche vers le bas 502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45</xdr:row>
      <xdr:rowOff>313765</xdr:rowOff>
    </xdr:from>
    <xdr:to>
      <xdr:col>0</xdr:col>
      <xdr:colOff>1165413</xdr:colOff>
      <xdr:row>46</xdr:row>
      <xdr:rowOff>44824</xdr:rowOff>
    </xdr:to>
    <xdr:sp macro="" textlink="">
      <xdr:nvSpPr>
        <xdr:cNvPr id="5030" name="Flèche vers le bas 502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45</xdr:row>
      <xdr:rowOff>313765</xdr:rowOff>
    </xdr:from>
    <xdr:to>
      <xdr:col>0</xdr:col>
      <xdr:colOff>1165413</xdr:colOff>
      <xdr:row>46</xdr:row>
      <xdr:rowOff>44824</xdr:rowOff>
    </xdr:to>
    <xdr:sp macro="" textlink="">
      <xdr:nvSpPr>
        <xdr:cNvPr id="5031" name="Flèche vers le bas 503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45</xdr:row>
      <xdr:rowOff>313765</xdr:rowOff>
    </xdr:from>
    <xdr:to>
      <xdr:col>0</xdr:col>
      <xdr:colOff>1165413</xdr:colOff>
      <xdr:row>46</xdr:row>
      <xdr:rowOff>44824</xdr:rowOff>
    </xdr:to>
    <xdr:sp macro="" textlink="">
      <xdr:nvSpPr>
        <xdr:cNvPr id="5032" name="Flèche vers le bas 503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46</xdr:row>
      <xdr:rowOff>313765</xdr:rowOff>
    </xdr:from>
    <xdr:to>
      <xdr:col>0</xdr:col>
      <xdr:colOff>1165413</xdr:colOff>
      <xdr:row>47</xdr:row>
      <xdr:rowOff>44824</xdr:rowOff>
    </xdr:to>
    <xdr:sp macro="" textlink="">
      <xdr:nvSpPr>
        <xdr:cNvPr id="5033" name="Flèche vers le bas 503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46</xdr:row>
      <xdr:rowOff>313765</xdr:rowOff>
    </xdr:from>
    <xdr:to>
      <xdr:col>0</xdr:col>
      <xdr:colOff>1165413</xdr:colOff>
      <xdr:row>47</xdr:row>
      <xdr:rowOff>44824</xdr:rowOff>
    </xdr:to>
    <xdr:sp macro="" textlink="">
      <xdr:nvSpPr>
        <xdr:cNvPr id="5034" name="Flèche vers le bas 503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46</xdr:row>
      <xdr:rowOff>313765</xdr:rowOff>
    </xdr:from>
    <xdr:to>
      <xdr:col>0</xdr:col>
      <xdr:colOff>1165413</xdr:colOff>
      <xdr:row>47</xdr:row>
      <xdr:rowOff>44824</xdr:rowOff>
    </xdr:to>
    <xdr:sp macro="" textlink="">
      <xdr:nvSpPr>
        <xdr:cNvPr id="5035" name="Flèche vers le bas 503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46</xdr:row>
      <xdr:rowOff>313765</xdr:rowOff>
    </xdr:from>
    <xdr:to>
      <xdr:col>0</xdr:col>
      <xdr:colOff>1165413</xdr:colOff>
      <xdr:row>47</xdr:row>
      <xdr:rowOff>44824</xdr:rowOff>
    </xdr:to>
    <xdr:sp macro="" textlink="">
      <xdr:nvSpPr>
        <xdr:cNvPr id="5036" name="Flèche vers le bas 503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46</xdr:row>
      <xdr:rowOff>313765</xdr:rowOff>
    </xdr:from>
    <xdr:to>
      <xdr:col>0</xdr:col>
      <xdr:colOff>1165413</xdr:colOff>
      <xdr:row>47</xdr:row>
      <xdr:rowOff>44824</xdr:rowOff>
    </xdr:to>
    <xdr:sp macro="" textlink="">
      <xdr:nvSpPr>
        <xdr:cNvPr id="5037" name="Flèche vers le bas 503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46</xdr:row>
      <xdr:rowOff>313765</xdr:rowOff>
    </xdr:from>
    <xdr:to>
      <xdr:col>0</xdr:col>
      <xdr:colOff>1165413</xdr:colOff>
      <xdr:row>47</xdr:row>
      <xdr:rowOff>44824</xdr:rowOff>
    </xdr:to>
    <xdr:sp macro="" textlink="">
      <xdr:nvSpPr>
        <xdr:cNvPr id="5038" name="Flèche vers le bas 503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46</xdr:row>
      <xdr:rowOff>313765</xdr:rowOff>
    </xdr:from>
    <xdr:to>
      <xdr:col>0</xdr:col>
      <xdr:colOff>1165413</xdr:colOff>
      <xdr:row>47</xdr:row>
      <xdr:rowOff>44824</xdr:rowOff>
    </xdr:to>
    <xdr:sp macro="" textlink="">
      <xdr:nvSpPr>
        <xdr:cNvPr id="5039" name="Flèche vers le bas 503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46</xdr:row>
      <xdr:rowOff>313765</xdr:rowOff>
    </xdr:from>
    <xdr:to>
      <xdr:col>0</xdr:col>
      <xdr:colOff>1165413</xdr:colOff>
      <xdr:row>47</xdr:row>
      <xdr:rowOff>44824</xdr:rowOff>
    </xdr:to>
    <xdr:sp macro="" textlink="">
      <xdr:nvSpPr>
        <xdr:cNvPr id="5040" name="Flèche vers le bas 503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46</xdr:row>
      <xdr:rowOff>313765</xdr:rowOff>
    </xdr:from>
    <xdr:to>
      <xdr:col>0</xdr:col>
      <xdr:colOff>1165413</xdr:colOff>
      <xdr:row>47</xdr:row>
      <xdr:rowOff>44824</xdr:rowOff>
    </xdr:to>
    <xdr:sp macro="" textlink="">
      <xdr:nvSpPr>
        <xdr:cNvPr id="5041" name="Flèche vers le bas 504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46</xdr:row>
      <xdr:rowOff>313765</xdr:rowOff>
    </xdr:from>
    <xdr:to>
      <xdr:col>0</xdr:col>
      <xdr:colOff>1165413</xdr:colOff>
      <xdr:row>47</xdr:row>
      <xdr:rowOff>44824</xdr:rowOff>
    </xdr:to>
    <xdr:sp macro="" textlink="">
      <xdr:nvSpPr>
        <xdr:cNvPr id="5042" name="Flèche vers le bas 504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47</xdr:row>
      <xdr:rowOff>313765</xdr:rowOff>
    </xdr:from>
    <xdr:to>
      <xdr:col>0</xdr:col>
      <xdr:colOff>1165413</xdr:colOff>
      <xdr:row>48</xdr:row>
      <xdr:rowOff>44824</xdr:rowOff>
    </xdr:to>
    <xdr:sp macro="" textlink="">
      <xdr:nvSpPr>
        <xdr:cNvPr id="5043" name="Flèche vers le bas 504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47</xdr:row>
      <xdr:rowOff>313765</xdr:rowOff>
    </xdr:from>
    <xdr:to>
      <xdr:col>0</xdr:col>
      <xdr:colOff>1165413</xdr:colOff>
      <xdr:row>48</xdr:row>
      <xdr:rowOff>44824</xdr:rowOff>
    </xdr:to>
    <xdr:sp macro="" textlink="">
      <xdr:nvSpPr>
        <xdr:cNvPr id="5044" name="Flèche vers le bas 504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47</xdr:row>
      <xdr:rowOff>313765</xdr:rowOff>
    </xdr:from>
    <xdr:to>
      <xdr:col>0</xdr:col>
      <xdr:colOff>1165413</xdr:colOff>
      <xdr:row>48</xdr:row>
      <xdr:rowOff>44824</xdr:rowOff>
    </xdr:to>
    <xdr:sp macro="" textlink="">
      <xdr:nvSpPr>
        <xdr:cNvPr id="5045" name="Flèche vers le bas 504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47</xdr:row>
      <xdr:rowOff>313765</xdr:rowOff>
    </xdr:from>
    <xdr:to>
      <xdr:col>0</xdr:col>
      <xdr:colOff>1165413</xdr:colOff>
      <xdr:row>48</xdr:row>
      <xdr:rowOff>44824</xdr:rowOff>
    </xdr:to>
    <xdr:sp macro="" textlink="">
      <xdr:nvSpPr>
        <xdr:cNvPr id="5046" name="Flèche vers le bas 504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47</xdr:row>
      <xdr:rowOff>313765</xdr:rowOff>
    </xdr:from>
    <xdr:to>
      <xdr:col>0</xdr:col>
      <xdr:colOff>1165413</xdr:colOff>
      <xdr:row>48</xdr:row>
      <xdr:rowOff>44824</xdr:rowOff>
    </xdr:to>
    <xdr:sp macro="" textlink="">
      <xdr:nvSpPr>
        <xdr:cNvPr id="5047" name="Flèche vers le bas 504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47</xdr:row>
      <xdr:rowOff>313765</xdr:rowOff>
    </xdr:from>
    <xdr:to>
      <xdr:col>0</xdr:col>
      <xdr:colOff>1165413</xdr:colOff>
      <xdr:row>48</xdr:row>
      <xdr:rowOff>44824</xdr:rowOff>
    </xdr:to>
    <xdr:sp macro="" textlink="">
      <xdr:nvSpPr>
        <xdr:cNvPr id="5048" name="Flèche vers le bas 504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47</xdr:row>
      <xdr:rowOff>313765</xdr:rowOff>
    </xdr:from>
    <xdr:to>
      <xdr:col>0</xdr:col>
      <xdr:colOff>1165413</xdr:colOff>
      <xdr:row>48</xdr:row>
      <xdr:rowOff>44824</xdr:rowOff>
    </xdr:to>
    <xdr:sp macro="" textlink="">
      <xdr:nvSpPr>
        <xdr:cNvPr id="5049" name="Flèche vers le bas 504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47</xdr:row>
      <xdr:rowOff>313765</xdr:rowOff>
    </xdr:from>
    <xdr:to>
      <xdr:col>0</xdr:col>
      <xdr:colOff>1165413</xdr:colOff>
      <xdr:row>48</xdr:row>
      <xdr:rowOff>44824</xdr:rowOff>
    </xdr:to>
    <xdr:sp macro="" textlink="">
      <xdr:nvSpPr>
        <xdr:cNvPr id="5050" name="Flèche vers le bas 504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47</xdr:row>
      <xdr:rowOff>313765</xdr:rowOff>
    </xdr:from>
    <xdr:to>
      <xdr:col>0</xdr:col>
      <xdr:colOff>1165413</xdr:colOff>
      <xdr:row>48</xdr:row>
      <xdr:rowOff>44824</xdr:rowOff>
    </xdr:to>
    <xdr:sp macro="" textlink="">
      <xdr:nvSpPr>
        <xdr:cNvPr id="5051" name="Flèche vers le bas 505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47</xdr:row>
      <xdr:rowOff>313765</xdr:rowOff>
    </xdr:from>
    <xdr:to>
      <xdr:col>0</xdr:col>
      <xdr:colOff>1165413</xdr:colOff>
      <xdr:row>48</xdr:row>
      <xdr:rowOff>44824</xdr:rowOff>
    </xdr:to>
    <xdr:sp macro="" textlink="">
      <xdr:nvSpPr>
        <xdr:cNvPr id="5052" name="Flèche vers le bas 505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48</xdr:row>
      <xdr:rowOff>313765</xdr:rowOff>
    </xdr:from>
    <xdr:to>
      <xdr:col>0</xdr:col>
      <xdr:colOff>1165413</xdr:colOff>
      <xdr:row>49</xdr:row>
      <xdr:rowOff>44824</xdr:rowOff>
    </xdr:to>
    <xdr:sp macro="" textlink="">
      <xdr:nvSpPr>
        <xdr:cNvPr id="5053" name="Flèche vers le bas 505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48</xdr:row>
      <xdr:rowOff>313765</xdr:rowOff>
    </xdr:from>
    <xdr:to>
      <xdr:col>0</xdr:col>
      <xdr:colOff>1165413</xdr:colOff>
      <xdr:row>49</xdr:row>
      <xdr:rowOff>44824</xdr:rowOff>
    </xdr:to>
    <xdr:sp macro="" textlink="">
      <xdr:nvSpPr>
        <xdr:cNvPr id="5054" name="Flèche vers le bas 505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48</xdr:row>
      <xdr:rowOff>313765</xdr:rowOff>
    </xdr:from>
    <xdr:to>
      <xdr:col>0</xdr:col>
      <xdr:colOff>1165413</xdr:colOff>
      <xdr:row>49</xdr:row>
      <xdr:rowOff>44824</xdr:rowOff>
    </xdr:to>
    <xdr:sp macro="" textlink="">
      <xdr:nvSpPr>
        <xdr:cNvPr id="5055" name="Flèche vers le bas 505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48</xdr:row>
      <xdr:rowOff>313765</xdr:rowOff>
    </xdr:from>
    <xdr:to>
      <xdr:col>0</xdr:col>
      <xdr:colOff>1165413</xdr:colOff>
      <xdr:row>49</xdr:row>
      <xdr:rowOff>44824</xdr:rowOff>
    </xdr:to>
    <xdr:sp macro="" textlink="">
      <xdr:nvSpPr>
        <xdr:cNvPr id="5056" name="Flèche vers le bas 505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48</xdr:row>
      <xdr:rowOff>313765</xdr:rowOff>
    </xdr:from>
    <xdr:to>
      <xdr:col>0</xdr:col>
      <xdr:colOff>1165413</xdr:colOff>
      <xdr:row>49</xdr:row>
      <xdr:rowOff>44824</xdr:rowOff>
    </xdr:to>
    <xdr:sp macro="" textlink="">
      <xdr:nvSpPr>
        <xdr:cNvPr id="5057" name="Flèche vers le bas 505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48</xdr:row>
      <xdr:rowOff>313765</xdr:rowOff>
    </xdr:from>
    <xdr:to>
      <xdr:col>0</xdr:col>
      <xdr:colOff>1165413</xdr:colOff>
      <xdr:row>49</xdr:row>
      <xdr:rowOff>44824</xdr:rowOff>
    </xdr:to>
    <xdr:sp macro="" textlink="">
      <xdr:nvSpPr>
        <xdr:cNvPr id="5058" name="Flèche vers le bas 505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48</xdr:row>
      <xdr:rowOff>313765</xdr:rowOff>
    </xdr:from>
    <xdr:to>
      <xdr:col>0</xdr:col>
      <xdr:colOff>1165413</xdr:colOff>
      <xdr:row>49</xdr:row>
      <xdr:rowOff>44824</xdr:rowOff>
    </xdr:to>
    <xdr:sp macro="" textlink="">
      <xdr:nvSpPr>
        <xdr:cNvPr id="5059" name="Flèche vers le bas 505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48</xdr:row>
      <xdr:rowOff>313765</xdr:rowOff>
    </xdr:from>
    <xdr:to>
      <xdr:col>0</xdr:col>
      <xdr:colOff>1165413</xdr:colOff>
      <xdr:row>49</xdr:row>
      <xdr:rowOff>44824</xdr:rowOff>
    </xdr:to>
    <xdr:sp macro="" textlink="">
      <xdr:nvSpPr>
        <xdr:cNvPr id="5060" name="Flèche vers le bas 505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48</xdr:row>
      <xdr:rowOff>313765</xdr:rowOff>
    </xdr:from>
    <xdr:to>
      <xdr:col>0</xdr:col>
      <xdr:colOff>1165413</xdr:colOff>
      <xdr:row>49</xdr:row>
      <xdr:rowOff>44824</xdr:rowOff>
    </xdr:to>
    <xdr:sp macro="" textlink="">
      <xdr:nvSpPr>
        <xdr:cNvPr id="5061" name="Flèche vers le bas 506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48</xdr:row>
      <xdr:rowOff>313765</xdr:rowOff>
    </xdr:from>
    <xdr:to>
      <xdr:col>0</xdr:col>
      <xdr:colOff>1165413</xdr:colOff>
      <xdr:row>49</xdr:row>
      <xdr:rowOff>44824</xdr:rowOff>
    </xdr:to>
    <xdr:sp macro="" textlink="">
      <xdr:nvSpPr>
        <xdr:cNvPr id="5062" name="Flèche vers le bas 506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49</xdr:row>
      <xdr:rowOff>313765</xdr:rowOff>
    </xdr:from>
    <xdr:to>
      <xdr:col>0</xdr:col>
      <xdr:colOff>1165413</xdr:colOff>
      <xdr:row>50</xdr:row>
      <xdr:rowOff>44824</xdr:rowOff>
    </xdr:to>
    <xdr:sp macro="" textlink="">
      <xdr:nvSpPr>
        <xdr:cNvPr id="5063" name="Flèche vers le bas 506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49</xdr:row>
      <xdr:rowOff>313765</xdr:rowOff>
    </xdr:from>
    <xdr:to>
      <xdr:col>0</xdr:col>
      <xdr:colOff>1165413</xdr:colOff>
      <xdr:row>50</xdr:row>
      <xdr:rowOff>44824</xdr:rowOff>
    </xdr:to>
    <xdr:sp macro="" textlink="">
      <xdr:nvSpPr>
        <xdr:cNvPr id="5064" name="Flèche vers le bas 506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49</xdr:row>
      <xdr:rowOff>313765</xdr:rowOff>
    </xdr:from>
    <xdr:to>
      <xdr:col>0</xdr:col>
      <xdr:colOff>1165413</xdr:colOff>
      <xdr:row>50</xdr:row>
      <xdr:rowOff>44824</xdr:rowOff>
    </xdr:to>
    <xdr:sp macro="" textlink="">
      <xdr:nvSpPr>
        <xdr:cNvPr id="5065" name="Flèche vers le bas 506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49</xdr:row>
      <xdr:rowOff>313765</xdr:rowOff>
    </xdr:from>
    <xdr:to>
      <xdr:col>0</xdr:col>
      <xdr:colOff>1165413</xdr:colOff>
      <xdr:row>50</xdr:row>
      <xdr:rowOff>44824</xdr:rowOff>
    </xdr:to>
    <xdr:sp macro="" textlink="">
      <xdr:nvSpPr>
        <xdr:cNvPr id="5066" name="Flèche vers le bas 506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49</xdr:row>
      <xdr:rowOff>313765</xdr:rowOff>
    </xdr:from>
    <xdr:to>
      <xdr:col>0</xdr:col>
      <xdr:colOff>1165413</xdr:colOff>
      <xdr:row>50</xdr:row>
      <xdr:rowOff>44824</xdr:rowOff>
    </xdr:to>
    <xdr:sp macro="" textlink="">
      <xdr:nvSpPr>
        <xdr:cNvPr id="5067" name="Flèche vers le bas 506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49</xdr:row>
      <xdr:rowOff>313765</xdr:rowOff>
    </xdr:from>
    <xdr:to>
      <xdr:col>0</xdr:col>
      <xdr:colOff>1165413</xdr:colOff>
      <xdr:row>50</xdr:row>
      <xdr:rowOff>44824</xdr:rowOff>
    </xdr:to>
    <xdr:sp macro="" textlink="">
      <xdr:nvSpPr>
        <xdr:cNvPr id="5068" name="Flèche vers le bas 506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49</xdr:row>
      <xdr:rowOff>313765</xdr:rowOff>
    </xdr:from>
    <xdr:to>
      <xdr:col>0</xdr:col>
      <xdr:colOff>1165413</xdr:colOff>
      <xdr:row>50</xdr:row>
      <xdr:rowOff>44824</xdr:rowOff>
    </xdr:to>
    <xdr:sp macro="" textlink="">
      <xdr:nvSpPr>
        <xdr:cNvPr id="5069" name="Flèche vers le bas 506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49</xdr:row>
      <xdr:rowOff>313765</xdr:rowOff>
    </xdr:from>
    <xdr:to>
      <xdr:col>0</xdr:col>
      <xdr:colOff>1165413</xdr:colOff>
      <xdr:row>50</xdr:row>
      <xdr:rowOff>44824</xdr:rowOff>
    </xdr:to>
    <xdr:sp macro="" textlink="">
      <xdr:nvSpPr>
        <xdr:cNvPr id="5070" name="Flèche vers le bas 506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49</xdr:row>
      <xdr:rowOff>313765</xdr:rowOff>
    </xdr:from>
    <xdr:to>
      <xdr:col>0</xdr:col>
      <xdr:colOff>1165413</xdr:colOff>
      <xdr:row>50</xdr:row>
      <xdr:rowOff>44824</xdr:rowOff>
    </xdr:to>
    <xdr:sp macro="" textlink="">
      <xdr:nvSpPr>
        <xdr:cNvPr id="5071" name="Flèche vers le bas 507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49</xdr:row>
      <xdr:rowOff>313765</xdr:rowOff>
    </xdr:from>
    <xdr:to>
      <xdr:col>0</xdr:col>
      <xdr:colOff>1165413</xdr:colOff>
      <xdr:row>50</xdr:row>
      <xdr:rowOff>44824</xdr:rowOff>
    </xdr:to>
    <xdr:sp macro="" textlink="">
      <xdr:nvSpPr>
        <xdr:cNvPr id="5072" name="Flèche vers le bas 507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50</xdr:row>
      <xdr:rowOff>313765</xdr:rowOff>
    </xdr:from>
    <xdr:to>
      <xdr:col>0</xdr:col>
      <xdr:colOff>1165413</xdr:colOff>
      <xdr:row>51</xdr:row>
      <xdr:rowOff>44824</xdr:rowOff>
    </xdr:to>
    <xdr:sp macro="" textlink="">
      <xdr:nvSpPr>
        <xdr:cNvPr id="5073" name="Flèche vers le bas 507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50</xdr:row>
      <xdr:rowOff>313765</xdr:rowOff>
    </xdr:from>
    <xdr:to>
      <xdr:col>0</xdr:col>
      <xdr:colOff>1165413</xdr:colOff>
      <xdr:row>51</xdr:row>
      <xdr:rowOff>44824</xdr:rowOff>
    </xdr:to>
    <xdr:sp macro="" textlink="">
      <xdr:nvSpPr>
        <xdr:cNvPr id="5074" name="Flèche vers le bas 507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50</xdr:row>
      <xdr:rowOff>313765</xdr:rowOff>
    </xdr:from>
    <xdr:to>
      <xdr:col>0</xdr:col>
      <xdr:colOff>1165413</xdr:colOff>
      <xdr:row>51</xdr:row>
      <xdr:rowOff>44824</xdr:rowOff>
    </xdr:to>
    <xdr:sp macro="" textlink="">
      <xdr:nvSpPr>
        <xdr:cNvPr id="5075" name="Flèche vers le bas 507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50</xdr:row>
      <xdr:rowOff>313765</xdr:rowOff>
    </xdr:from>
    <xdr:to>
      <xdr:col>0</xdr:col>
      <xdr:colOff>1165413</xdr:colOff>
      <xdr:row>51</xdr:row>
      <xdr:rowOff>44824</xdr:rowOff>
    </xdr:to>
    <xdr:sp macro="" textlink="">
      <xdr:nvSpPr>
        <xdr:cNvPr id="5076" name="Flèche vers le bas 507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50</xdr:row>
      <xdr:rowOff>313765</xdr:rowOff>
    </xdr:from>
    <xdr:to>
      <xdr:col>0</xdr:col>
      <xdr:colOff>1165413</xdr:colOff>
      <xdr:row>51</xdr:row>
      <xdr:rowOff>44824</xdr:rowOff>
    </xdr:to>
    <xdr:sp macro="" textlink="">
      <xdr:nvSpPr>
        <xdr:cNvPr id="5077" name="Flèche vers le bas 507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50</xdr:row>
      <xdr:rowOff>313765</xdr:rowOff>
    </xdr:from>
    <xdr:to>
      <xdr:col>0</xdr:col>
      <xdr:colOff>1165413</xdr:colOff>
      <xdr:row>51</xdr:row>
      <xdr:rowOff>44824</xdr:rowOff>
    </xdr:to>
    <xdr:sp macro="" textlink="">
      <xdr:nvSpPr>
        <xdr:cNvPr id="5078" name="Flèche vers le bas 507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50</xdr:row>
      <xdr:rowOff>313765</xdr:rowOff>
    </xdr:from>
    <xdr:to>
      <xdr:col>0</xdr:col>
      <xdr:colOff>1165413</xdr:colOff>
      <xdr:row>51</xdr:row>
      <xdr:rowOff>44824</xdr:rowOff>
    </xdr:to>
    <xdr:sp macro="" textlink="">
      <xdr:nvSpPr>
        <xdr:cNvPr id="5079" name="Flèche vers le bas 507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50</xdr:row>
      <xdr:rowOff>313765</xdr:rowOff>
    </xdr:from>
    <xdr:to>
      <xdr:col>0</xdr:col>
      <xdr:colOff>1165413</xdr:colOff>
      <xdr:row>51</xdr:row>
      <xdr:rowOff>44824</xdr:rowOff>
    </xdr:to>
    <xdr:sp macro="" textlink="">
      <xdr:nvSpPr>
        <xdr:cNvPr id="5080" name="Flèche vers le bas 507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50</xdr:row>
      <xdr:rowOff>313765</xdr:rowOff>
    </xdr:from>
    <xdr:to>
      <xdr:col>0</xdr:col>
      <xdr:colOff>1165413</xdr:colOff>
      <xdr:row>51</xdr:row>
      <xdr:rowOff>44824</xdr:rowOff>
    </xdr:to>
    <xdr:sp macro="" textlink="">
      <xdr:nvSpPr>
        <xdr:cNvPr id="5081" name="Flèche vers le bas 508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50</xdr:row>
      <xdr:rowOff>313765</xdr:rowOff>
    </xdr:from>
    <xdr:to>
      <xdr:col>0</xdr:col>
      <xdr:colOff>1165413</xdr:colOff>
      <xdr:row>51</xdr:row>
      <xdr:rowOff>44824</xdr:rowOff>
    </xdr:to>
    <xdr:sp macro="" textlink="">
      <xdr:nvSpPr>
        <xdr:cNvPr id="5082" name="Flèche vers le bas 508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51</xdr:row>
      <xdr:rowOff>313765</xdr:rowOff>
    </xdr:from>
    <xdr:to>
      <xdr:col>0</xdr:col>
      <xdr:colOff>1165413</xdr:colOff>
      <xdr:row>52</xdr:row>
      <xdr:rowOff>44824</xdr:rowOff>
    </xdr:to>
    <xdr:sp macro="" textlink="">
      <xdr:nvSpPr>
        <xdr:cNvPr id="5083" name="Flèche vers le bas 508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51</xdr:row>
      <xdr:rowOff>313765</xdr:rowOff>
    </xdr:from>
    <xdr:to>
      <xdr:col>0</xdr:col>
      <xdr:colOff>1165413</xdr:colOff>
      <xdr:row>52</xdr:row>
      <xdr:rowOff>44824</xdr:rowOff>
    </xdr:to>
    <xdr:sp macro="" textlink="">
      <xdr:nvSpPr>
        <xdr:cNvPr id="5084" name="Flèche vers le bas 508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51</xdr:row>
      <xdr:rowOff>313765</xdr:rowOff>
    </xdr:from>
    <xdr:to>
      <xdr:col>0</xdr:col>
      <xdr:colOff>1165413</xdr:colOff>
      <xdr:row>52</xdr:row>
      <xdr:rowOff>44824</xdr:rowOff>
    </xdr:to>
    <xdr:sp macro="" textlink="">
      <xdr:nvSpPr>
        <xdr:cNvPr id="5085" name="Flèche vers le bas 508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51</xdr:row>
      <xdr:rowOff>313765</xdr:rowOff>
    </xdr:from>
    <xdr:to>
      <xdr:col>0</xdr:col>
      <xdr:colOff>1165413</xdr:colOff>
      <xdr:row>52</xdr:row>
      <xdr:rowOff>44824</xdr:rowOff>
    </xdr:to>
    <xdr:sp macro="" textlink="">
      <xdr:nvSpPr>
        <xdr:cNvPr id="5086" name="Flèche vers le bas 508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51</xdr:row>
      <xdr:rowOff>313765</xdr:rowOff>
    </xdr:from>
    <xdr:to>
      <xdr:col>0</xdr:col>
      <xdr:colOff>1165413</xdr:colOff>
      <xdr:row>52</xdr:row>
      <xdr:rowOff>44824</xdr:rowOff>
    </xdr:to>
    <xdr:sp macro="" textlink="">
      <xdr:nvSpPr>
        <xdr:cNvPr id="5087" name="Flèche vers le bas 508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51</xdr:row>
      <xdr:rowOff>313765</xdr:rowOff>
    </xdr:from>
    <xdr:to>
      <xdr:col>0</xdr:col>
      <xdr:colOff>1165413</xdr:colOff>
      <xdr:row>52</xdr:row>
      <xdr:rowOff>44824</xdr:rowOff>
    </xdr:to>
    <xdr:sp macro="" textlink="">
      <xdr:nvSpPr>
        <xdr:cNvPr id="5088" name="Flèche vers le bas 508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51</xdr:row>
      <xdr:rowOff>313765</xdr:rowOff>
    </xdr:from>
    <xdr:to>
      <xdr:col>0</xdr:col>
      <xdr:colOff>1165413</xdr:colOff>
      <xdr:row>52</xdr:row>
      <xdr:rowOff>44824</xdr:rowOff>
    </xdr:to>
    <xdr:sp macro="" textlink="">
      <xdr:nvSpPr>
        <xdr:cNvPr id="5089" name="Flèche vers le bas 508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51</xdr:row>
      <xdr:rowOff>313765</xdr:rowOff>
    </xdr:from>
    <xdr:to>
      <xdr:col>0</xdr:col>
      <xdr:colOff>1165413</xdr:colOff>
      <xdr:row>52</xdr:row>
      <xdr:rowOff>44824</xdr:rowOff>
    </xdr:to>
    <xdr:sp macro="" textlink="">
      <xdr:nvSpPr>
        <xdr:cNvPr id="5090" name="Flèche vers le bas 508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51</xdr:row>
      <xdr:rowOff>313765</xdr:rowOff>
    </xdr:from>
    <xdr:to>
      <xdr:col>0</xdr:col>
      <xdr:colOff>1165413</xdr:colOff>
      <xdr:row>52</xdr:row>
      <xdr:rowOff>44824</xdr:rowOff>
    </xdr:to>
    <xdr:sp macro="" textlink="">
      <xdr:nvSpPr>
        <xdr:cNvPr id="5091" name="Flèche vers le bas 509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51</xdr:row>
      <xdr:rowOff>313765</xdr:rowOff>
    </xdr:from>
    <xdr:to>
      <xdr:col>0</xdr:col>
      <xdr:colOff>1165413</xdr:colOff>
      <xdr:row>52</xdr:row>
      <xdr:rowOff>44824</xdr:rowOff>
    </xdr:to>
    <xdr:sp macro="" textlink="">
      <xdr:nvSpPr>
        <xdr:cNvPr id="5092" name="Flèche vers le bas 509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52</xdr:row>
      <xdr:rowOff>313765</xdr:rowOff>
    </xdr:from>
    <xdr:to>
      <xdr:col>0</xdr:col>
      <xdr:colOff>1165413</xdr:colOff>
      <xdr:row>53</xdr:row>
      <xdr:rowOff>44824</xdr:rowOff>
    </xdr:to>
    <xdr:sp macro="" textlink="">
      <xdr:nvSpPr>
        <xdr:cNvPr id="5093" name="Flèche vers le bas 509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52</xdr:row>
      <xdr:rowOff>313765</xdr:rowOff>
    </xdr:from>
    <xdr:to>
      <xdr:col>0</xdr:col>
      <xdr:colOff>1165413</xdr:colOff>
      <xdr:row>53</xdr:row>
      <xdr:rowOff>44824</xdr:rowOff>
    </xdr:to>
    <xdr:sp macro="" textlink="">
      <xdr:nvSpPr>
        <xdr:cNvPr id="5094" name="Flèche vers le bas 509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52</xdr:row>
      <xdr:rowOff>313765</xdr:rowOff>
    </xdr:from>
    <xdr:to>
      <xdr:col>0</xdr:col>
      <xdr:colOff>1165413</xdr:colOff>
      <xdr:row>53</xdr:row>
      <xdr:rowOff>44824</xdr:rowOff>
    </xdr:to>
    <xdr:sp macro="" textlink="">
      <xdr:nvSpPr>
        <xdr:cNvPr id="5095" name="Flèche vers le bas 509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52</xdr:row>
      <xdr:rowOff>313765</xdr:rowOff>
    </xdr:from>
    <xdr:to>
      <xdr:col>0</xdr:col>
      <xdr:colOff>1165413</xdr:colOff>
      <xdr:row>53</xdr:row>
      <xdr:rowOff>44824</xdr:rowOff>
    </xdr:to>
    <xdr:sp macro="" textlink="">
      <xdr:nvSpPr>
        <xdr:cNvPr id="5096" name="Flèche vers le bas 509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52</xdr:row>
      <xdr:rowOff>313765</xdr:rowOff>
    </xdr:from>
    <xdr:to>
      <xdr:col>0</xdr:col>
      <xdr:colOff>1165413</xdr:colOff>
      <xdr:row>53</xdr:row>
      <xdr:rowOff>44824</xdr:rowOff>
    </xdr:to>
    <xdr:sp macro="" textlink="">
      <xdr:nvSpPr>
        <xdr:cNvPr id="5097" name="Flèche vers le bas 509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52</xdr:row>
      <xdr:rowOff>313765</xdr:rowOff>
    </xdr:from>
    <xdr:to>
      <xdr:col>0</xdr:col>
      <xdr:colOff>1165413</xdr:colOff>
      <xdr:row>53</xdr:row>
      <xdr:rowOff>44824</xdr:rowOff>
    </xdr:to>
    <xdr:sp macro="" textlink="">
      <xdr:nvSpPr>
        <xdr:cNvPr id="5098" name="Flèche vers le bas 509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52</xdr:row>
      <xdr:rowOff>313765</xdr:rowOff>
    </xdr:from>
    <xdr:to>
      <xdr:col>0</xdr:col>
      <xdr:colOff>1165413</xdr:colOff>
      <xdr:row>53</xdr:row>
      <xdr:rowOff>44824</xdr:rowOff>
    </xdr:to>
    <xdr:sp macro="" textlink="">
      <xdr:nvSpPr>
        <xdr:cNvPr id="5099" name="Flèche vers le bas 509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52</xdr:row>
      <xdr:rowOff>313765</xdr:rowOff>
    </xdr:from>
    <xdr:to>
      <xdr:col>0</xdr:col>
      <xdr:colOff>1165413</xdr:colOff>
      <xdr:row>53</xdr:row>
      <xdr:rowOff>44824</xdr:rowOff>
    </xdr:to>
    <xdr:sp macro="" textlink="">
      <xdr:nvSpPr>
        <xdr:cNvPr id="5100" name="Flèche vers le bas 509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52</xdr:row>
      <xdr:rowOff>313765</xdr:rowOff>
    </xdr:from>
    <xdr:to>
      <xdr:col>0</xdr:col>
      <xdr:colOff>1165413</xdr:colOff>
      <xdr:row>53</xdr:row>
      <xdr:rowOff>44824</xdr:rowOff>
    </xdr:to>
    <xdr:sp macro="" textlink="">
      <xdr:nvSpPr>
        <xdr:cNvPr id="5101" name="Flèche vers le bas 510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52</xdr:row>
      <xdr:rowOff>313765</xdr:rowOff>
    </xdr:from>
    <xdr:to>
      <xdr:col>0</xdr:col>
      <xdr:colOff>1165413</xdr:colOff>
      <xdr:row>53</xdr:row>
      <xdr:rowOff>44824</xdr:rowOff>
    </xdr:to>
    <xdr:sp macro="" textlink="">
      <xdr:nvSpPr>
        <xdr:cNvPr id="5102" name="Flèche vers le bas 510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53</xdr:row>
      <xdr:rowOff>313765</xdr:rowOff>
    </xdr:from>
    <xdr:to>
      <xdr:col>0</xdr:col>
      <xdr:colOff>1165413</xdr:colOff>
      <xdr:row>54</xdr:row>
      <xdr:rowOff>44824</xdr:rowOff>
    </xdr:to>
    <xdr:sp macro="" textlink="">
      <xdr:nvSpPr>
        <xdr:cNvPr id="5103" name="Flèche vers le bas 510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53</xdr:row>
      <xdr:rowOff>313765</xdr:rowOff>
    </xdr:from>
    <xdr:to>
      <xdr:col>0</xdr:col>
      <xdr:colOff>1165413</xdr:colOff>
      <xdr:row>54</xdr:row>
      <xdr:rowOff>44824</xdr:rowOff>
    </xdr:to>
    <xdr:sp macro="" textlink="">
      <xdr:nvSpPr>
        <xdr:cNvPr id="5104" name="Flèche vers le bas 510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53</xdr:row>
      <xdr:rowOff>313765</xdr:rowOff>
    </xdr:from>
    <xdr:to>
      <xdr:col>0</xdr:col>
      <xdr:colOff>1165413</xdr:colOff>
      <xdr:row>54</xdr:row>
      <xdr:rowOff>44824</xdr:rowOff>
    </xdr:to>
    <xdr:sp macro="" textlink="">
      <xdr:nvSpPr>
        <xdr:cNvPr id="5105" name="Flèche vers le bas 510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53</xdr:row>
      <xdr:rowOff>313765</xdr:rowOff>
    </xdr:from>
    <xdr:to>
      <xdr:col>0</xdr:col>
      <xdr:colOff>1165413</xdr:colOff>
      <xdr:row>54</xdr:row>
      <xdr:rowOff>44824</xdr:rowOff>
    </xdr:to>
    <xdr:sp macro="" textlink="">
      <xdr:nvSpPr>
        <xdr:cNvPr id="5106" name="Flèche vers le bas 510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53</xdr:row>
      <xdr:rowOff>313765</xdr:rowOff>
    </xdr:from>
    <xdr:to>
      <xdr:col>0</xdr:col>
      <xdr:colOff>1165413</xdr:colOff>
      <xdr:row>54</xdr:row>
      <xdr:rowOff>44824</xdr:rowOff>
    </xdr:to>
    <xdr:sp macro="" textlink="">
      <xdr:nvSpPr>
        <xdr:cNvPr id="5107" name="Flèche vers le bas 510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53</xdr:row>
      <xdr:rowOff>313765</xdr:rowOff>
    </xdr:from>
    <xdr:to>
      <xdr:col>0</xdr:col>
      <xdr:colOff>1165413</xdr:colOff>
      <xdr:row>54</xdr:row>
      <xdr:rowOff>44824</xdr:rowOff>
    </xdr:to>
    <xdr:sp macro="" textlink="">
      <xdr:nvSpPr>
        <xdr:cNvPr id="5108" name="Flèche vers le bas 510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53</xdr:row>
      <xdr:rowOff>313765</xdr:rowOff>
    </xdr:from>
    <xdr:to>
      <xdr:col>0</xdr:col>
      <xdr:colOff>1165413</xdr:colOff>
      <xdr:row>54</xdr:row>
      <xdr:rowOff>44824</xdr:rowOff>
    </xdr:to>
    <xdr:sp macro="" textlink="">
      <xdr:nvSpPr>
        <xdr:cNvPr id="5109" name="Flèche vers le bas 510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53</xdr:row>
      <xdr:rowOff>313765</xdr:rowOff>
    </xdr:from>
    <xdr:to>
      <xdr:col>0</xdr:col>
      <xdr:colOff>1165413</xdr:colOff>
      <xdr:row>54</xdr:row>
      <xdr:rowOff>44824</xdr:rowOff>
    </xdr:to>
    <xdr:sp macro="" textlink="">
      <xdr:nvSpPr>
        <xdr:cNvPr id="5110" name="Flèche vers le bas 510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53</xdr:row>
      <xdr:rowOff>313765</xdr:rowOff>
    </xdr:from>
    <xdr:to>
      <xdr:col>0</xdr:col>
      <xdr:colOff>1165413</xdr:colOff>
      <xdr:row>54</xdr:row>
      <xdr:rowOff>44824</xdr:rowOff>
    </xdr:to>
    <xdr:sp macro="" textlink="">
      <xdr:nvSpPr>
        <xdr:cNvPr id="5111" name="Flèche vers le bas 511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53</xdr:row>
      <xdr:rowOff>313765</xdr:rowOff>
    </xdr:from>
    <xdr:to>
      <xdr:col>0</xdr:col>
      <xdr:colOff>1165413</xdr:colOff>
      <xdr:row>54</xdr:row>
      <xdr:rowOff>44824</xdr:rowOff>
    </xdr:to>
    <xdr:sp macro="" textlink="">
      <xdr:nvSpPr>
        <xdr:cNvPr id="5112" name="Flèche vers le bas 511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54</xdr:row>
      <xdr:rowOff>313765</xdr:rowOff>
    </xdr:from>
    <xdr:to>
      <xdr:col>0</xdr:col>
      <xdr:colOff>1165413</xdr:colOff>
      <xdr:row>55</xdr:row>
      <xdr:rowOff>44824</xdr:rowOff>
    </xdr:to>
    <xdr:sp macro="" textlink="">
      <xdr:nvSpPr>
        <xdr:cNvPr id="5113" name="Flèche vers le bas 511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54</xdr:row>
      <xdr:rowOff>313765</xdr:rowOff>
    </xdr:from>
    <xdr:to>
      <xdr:col>0</xdr:col>
      <xdr:colOff>1165413</xdr:colOff>
      <xdr:row>55</xdr:row>
      <xdr:rowOff>44824</xdr:rowOff>
    </xdr:to>
    <xdr:sp macro="" textlink="">
      <xdr:nvSpPr>
        <xdr:cNvPr id="5114" name="Flèche vers le bas 511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54</xdr:row>
      <xdr:rowOff>313765</xdr:rowOff>
    </xdr:from>
    <xdr:to>
      <xdr:col>0</xdr:col>
      <xdr:colOff>1165413</xdr:colOff>
      <xdr:row>55</xdr:row>
      <xdr:rowOff>44824</xdr:rowOff>
    </xdr:to>
    <xdr:sp macro="" textlink="">
      <xdr:nvSpPr>
        <xdr:cNvPr id="5115" name="Flèche vers le bas 511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54</xdr:row>
      <xdr:rowOff>313765</xdr:rowOff>
    </xdr:from>
    <xdr:to>
      <xdr:col>0</xdr:col>
      <xdr:colOff>1165413</xdr:colOff>
      <xdr:row>55</xdr:row>
      <xdr:rowOff>44824</xdr:rowOff>
    </xdr:to>
    <xdr:sp macro="" textlink="">
      <xdr:nvSpPr>
        <xdr:cNvPr id="5116" name="Flèche vers le bas 511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54</xdr:row>
      <xdr:rowOff>313765</xdr:rowOff>
    </xdr:from>
    <xdr:to>
      <xdr:col>0</xdr:col>
      <xdr:colOff>1165413</xdr:colOff>
      <xdr:row>55</xdr:row>
      <xdr:rowOff>44824</xdr:rowOff>
    </xdr:to>
    <xdr:sp macro="" textlink="">
      <xdr:nvSpPr>
        <xdr:cNvPr id="5117" name="Flèche vers le bas 511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54</xdr:row>
      <xdr:rowOff>313765</xdr:rowOff>
    </xdr:from>
    <xdr:to>
      <xdr:col>0</xdr:col>
      <xdr:colOff>1165413</xdr:colOff>
      <xdr:row>55</xdr:row>
      <xdr:rowOff>44824</xdr:rowOff>
    </xdr:to>
    <xdr:sp macro="" textlink="">
      <xdr:nvSpPr>
        <xdr:cNvPr id="5118" name="Flèche vers le bas 511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54</xdr:row>
      <xdr:rowOff>313765</xdr:rowOff>
    </xdr:from>
    <xdr:to>
      <xdr:col>0</xdr:col>
      <xdr:colOff>1165413</xdr:colOff>
      <xdr:row>55</xdr:row>
      <xdr:rowOff>44824</xdr:rowOff>
    </xdr:to>
    <xdr:sp macro="" textlink="">
      <xdr:nvSpPr>
        <xdr:cNvPr id="5119" name="Flèche vers le bas 511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54</xdr:row>
      <xdr:rowOff>313765</xdr:rowOff>
    </xdr:from>
    <xdr:to>
      <xdr:col>0</xdr:col>
      <xdr:colOff>1165413</xdr:colOff>
      <xdr:row>55</xdr:row>
      <xdr:rowOff>44824</xdr:rowOff>
    </xdr:to>
    <xdr:sp macro="" textlink="">
      <xdr:nvSpPr>
        <xdr:cNvPr id="5120" name="Flèche vers le bas 511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54</xdr:row>
      <xdr:rowOff>313765</xdr:rowOff>
    </xdr:from>
    <xdr:to>
      <xdr:col>0</xdr:col>
      <xdr:colOff>1165413</xdr:colOff>
      <xdr:row>55</xdr:row>
      <xdr:rowOff>44824</xdr:rowOff>
    </xdr:to>
    <xdr:sp macro="" textlink="">
      <xdr:nvSpPr>
        <xdr:cNvPr id="5121" name="Flèche vers le bas 512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54</xdr:row>
      <xdr:rowOff>313765</xdr:rowOff>
    </xdr:from>
    <xdr:to>
      <xdr:col>0</xdr:col>
      <xdr:colOff>1165413</xdr:colOff>
      <xdr:row>55</xdr:row>
      <xdr:rowOff>44824</xdr:rowOff>
    </xdr:to>
    <xdr:sp macro="" textlink="">
      <xdr:nvSpPr>
        <xdr:cNvPr id="5122" name="Flèche vers le bas 512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55</xdr:row>
      <xdr:rowOff>313765</xdr:rowOff>
    </xdr:from>
    <xdr:to>
      <xdr:col>0</xdr:col>
      <xdr:colOff>1165413</xdr:colOff>
      <xdr:row>56</xdr:row>
      <xdr:rowOff>44824</xdr:rowOff>
    </xdr:to>
    <xdr:sp macro="" textlink="">
      <xdr:nvSpPr>
        <xdr:cNvPr id="5123" name="Flèche vers le bas 512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55</xdr:row>
      <xdr:rowOff>313765</xdr:rowOff>
    </xdr:from>
    <xdr:to>
      <xdr:col>0</xdr:col>
      <xdr:colOff>1165413</xdr:colOff>
      <xdr:row>56</xdr:row>
      <xdr:rowOff>44824</xdr:rowOff>
    </xdr:to>
    <xdr:sp macro="" textlink="">
      <xdr:nvSpPr>
        <xdr:cNvPr id="5124" name="Flèche vers le bas 512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55</xdr:row>
      <xdr:rowOff>313765</xdr:rowOff>
    </xdr:from>
    <xdr:to>
      <xdr:col>0</xdr:col>
      <xdr:colOff>1165413</xdr:colOff>
      <xdr:row>56</xdr:row>
      <xdr:rowOff>44824</xdr:rowOff>
    </xdr:to>
    <xdr:sp macro="" textlink="">
      <xdr:nvSpPr>
        <xdr:cNvPr id="5125" name="Flèche vers le bas 512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55</xdr:row>
      <xdr:rowOff>313765</xdr:rowOff>
    </xdr:from>
    <xdr:to>
      <xdr:col>0</xdr:col>
      <xdr:colOff>1165413</xdr:colOff>
      <xdr:row>56</xdr:row>
      <xdr:rowOff>44824</xdr:rowOff>
    </xdr:to>
    <xdr:sp macro="" textlink="">
      <xdr:nvSpPr>
        <xdr:cNvPr id="5126" name="Flèche vers le bas 512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55</xdr:row>
      <xdr:rowOff>313765</xdr:rowOff>
    </xdr:from>
    <xdr:to>
      <xdr:col>0</xdr:col>
      <xdr:colOff>1165413</xdr:colOff>
      <xdr:row>56</xdr:row>
      <xdr:rowOff>44824</xdr:rowOff>
    </xdr:to>
    <xdr:sp macro="" textlink="">
      <xdr:nvSpPr>
        <xdr:cNvPr id="5127" name="Flèche vers le bas 512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55</xdr:row>
      <xdr:rowOff>313765</xdr:rowOff>
    </xdr:from>
    <xdr:to>
      <xdr:col>0</xdr:col>
      <xdr:colOff>1165413</xdr:colOff>
      <xdr:row>56</xdr:row>
      <xdr:rowOff>44824</xdr:rowOff>
    </xdr:to>
    <xdr:sp macro="" textlink="">
      <xdr:nvSpPr>
        <xdr:cNvPr id="5128" name="Flèche vers le bas 512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55</xdr:row>
      <xdr:rowOff>313765</xdr:rowOff>
    </xdr:from>
    <xdr:to>
      <xdr:col>0</xdr:col>
      <xdr:colOff>1165413</xdr:colOff>
      <xdr:row>56</xdr:row>
      <xdr:rowOff>44824</xdr:rowOff>
    </xdr:to>
    <xdr:sp macro="" textlink="">
      <xdr:nvSpPr>
        <xdr:cNvPr id="5129" name="Flèche vers le bas 512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55</xdr:row>
      <xdr:rowOff>313765</xdr:rowOff>
    </xdr:from>
    <xdr:to>
      <xdr:col>0</xdr:col>
      <xdr:colOff>1165413</xdr:colOff>
      <xdr:row>56</xdr:row>
      <xdr:rowOff>44824</xdr:rowOff>
    </xdr:to>
    <xdr:sp macro="" textlink="">
      <xdr:nvSpPr>
        <xdr:cNvPr id="5130" name="Flèche vers le bas 512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55</xdr:row>
      <xdr:rowOff>313765</xdr:rowOff>
    </xdr:from>
    <xdr:to>
      <xdr:col>0</xdr:col>
      <xdr:colOff>1165413</xdr:colOff>
      <xdr:row>56</xdr:row>
      <xdr:rowOff>44824</xdr:rowOff>
    </xdr:to>
    <xdr:sp macro="" textlink="">
      <xdr:nvSpPr>
        <xdr:cNvPr id="5131" name="Flèche vers le bas 513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55</xdr:row>
      <xdr:rowOff>313765</xdr:rowOff>
    </xdr:from>
    <xdr:to>
      <xdr:col>0</xdr:col>
      <xdr:colOff>1165413</xdr:colOff>
      <xdr:row>56</xdr:row>
      <xdr:rowOff>44824</xdr:rowOff>
    </xdr:to>
    <xdr:sp macro="" textlink="">
      <xdr:nvSpPr>
        <xdr:cNvPr id="5132" name="Flèche vers le bas 513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56</xdr:row>
      <xdr:rowOff>313765</xdr:rowOff>
    </xdr:from>
    <xdr:to>
      <xdr:col>0</xdr:col>
      <xdr:colOff>1165413</xdr:colOff>
      <xdr:row>57</xdr:row>
      <xdr:rowOff>44824</xdr:rowOff>
    </xdr:to>
    <xdr:sp macro="" textlink="">
      <xdr:nvSpPr>
        <xdr:cNvPr id="5133" name="Flèche vers le bas 513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56</xdr:row>
      <xdr:rowOff>313765</xdr:rowOff>
    </xdr:from>
    <xdr:to>
      <xdr:col>0</xdr:col>
      <xdr:colOff>1165413</xdr:colOff>
      <xdr:row>57</xdr:row>
      <xdr:rowOff>44824</xdr:rowOff>
    </xdr:to>
    <xdr:sp macro="" textlink="">
      <xdr:nvSpPr>
        <xdr:cNvPr id="5134" name="Flèche vers le bas 513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56</xdr:row>
      <xdr:rowOff>313765</xdr:rowOff>
    </xdr:from>
    <xdr:to>
      <xdr:col>0</xdr:col>
      <xdr:colOff>1165413</xdr:colOff>
      <xdr:row>57</xdr:row>
      <xdr:rowOff>44824</xdr:rowOff>
    </xdr:to>
    <xdr:sp macro="" textlink="">
      <xdr:nvSpPr>
        <xdr:cNvPr id="5135" name="Flèche vers le bas 513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56</xdr:row>
      <xdr:rowOff>313765</xdr:rowOff>
    </xdr:from>
    <xdr:to>
      <xdr:col>0</xdr:col>
      <xdr:colOff>1165413</xdr:colOff>
      <xdr:row>57</xdr:row>
      <xdr:rowOff>44824</xdr:rowOff>
    </xdr:to>
    <xdr:sp macro="" textlink="">
      <xdr:nvSpPr>
        <xdr:cNvPr id="5136" name="Flèche vers le bas 513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56</xdr:row>
      <xdr:rowOff>313765</xdr:rowOff>
    </xdr:from>
    <xdr:to>
      <xdr:col>0</xdr:col>
      <xdr:colOff>1165413</xdr:colOff>
      <xdr:row>57</xdr:row>
      <xdr:rowOff>44824</xdr:rowOff>
    </xdr:to>
    <xdr:sp macro="" textlink="">
      <xdr:nvSpPr>
        <xdr:cNvPr id="5137" name="Flèche vers le bas 513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56</xdr:row>
      <xdr:rowOff>313765</xdr:rowOff>
    </xdr:from>
    <xdr:to>
      <xdr:col>0</xdr:col>
      <xdr:colOff>1165413</xdr:colOff>
      <xdr:row>57</xdr:row>
      <xdr:rowOff>44824</xdr:rowOff>
    </xdr:to>
    <xdr:sp macro="" textlink="">
      <xdr:nvSpPr>
        <xdr:cNvPr id="5138" name="Flèche vers le bas 513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56</xdr:row>
      <xdr:rowOff>313765</xdr:rowOff>
    </xdr:from>
    <xdr:to>
      <xdr:col>0</xdr:col>
      <xdr:colOff>1165413</xdr:colOff>
      <xdr:row>57</xdr:row>
      <xdr:rowOff>44824</xdr:rowOff>
    </xdr:to>
    <xdr:sp macro="" textlink="">
      <xdr:nvSpPr>
        <xdr:cNvPr id="5139" name="Flèche vers le bas 513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56</xdr:row>
      <xdr:rowOff>313765</xdr:rowOff>
    </xdr:from>
    <xdr:to>
      <xdr:col>0</xdr:col>
      <xdr:colOff>1165413</xdr:colOff>
      <xdr:row>57</xdr:row>
      <xdr:rowOff>44824</xdr:rowOff>
    </xdr:to>
    <xdr:sp macro="" textlink="">
      <xdr:nvSpPr>
        <xdr:cNvPr id="5140" name="Flèche vers le bas 513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56</xdr:row>
      <xdr:rowOff>313765</xdr:rowOff>
    </xdr:from>
    <xdr:to>
      <xdr:col>0</xdr:col>
      <xdr:colOff>1165413</xdr:colOff>
      <xdr:row>57</xdr:row>
      <xdr:rowOff>44824</xdr:rowOff>
    </xdr:to>
    <xdr:sp macro="" textlink="">
      <xdr:nvSpPr>
        <xdr:cNvPr id="5141" name="Flèche vers le bas 514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56</xdr:row>
      <xdr:rowOff>313765</xdr:rowOff>
    </xdr:from>
    <xdr:to>
      <xdr:col>0</xdr:col>
      <xdr:colOff>1165413</xdr:colOff>
      <xdr:row>57</xdr:row>
      <xdr:rowOff>44824</xdr:rowOff>
    </xdr:to>
    <xdr:sp macro="" textlink="">
      <xdr:nvSpPr>
        <xdr:cNvPr id="5142" name="Flèche vers le bas 514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57</xdr:row>
      <xdr:rowOff>313765</xdr:rowOff>
    </xdr:from>
    <xdr:to>
      <xdr:col>0</xdr:col>
      <xdr:colOff>1165413</xdr:colOff>
      <xdr:row>58</xdr:row>
      <xdr:rowOff>44824</xdr:rowOff>
    </xdr:to>
    <xdr:sp macro="" textlink="">
      <xdr:nvSpPr>
        <xdr:cNvPr id="5143" name="Flèche vers le bas 514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57</xdr:row>
      <xdr:rowOff>313765</xdr:rowOff>
    </xdr:from>
    <xdr:to>
      <xdr:col>0</xdr:col>
      <xdr:colOff>1165413</xdr:colOff>
      <xdr:row>58</xdr:row>
      <xdr:rowOff>44824</xdr:rowOff>
    </xdr:to>
    <xdr:sp macro="" textlink="">
      <xdr:nvSpPr>
        <xdr:cNvPr id="5144" name="Flèche vers le bas 514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57</xdr:row>
      <xdr:rowOff>313765</xdr:rowOff>
    </xdr:from>
    <xdr:to>
      <xdr:col>0</xdr:col>
      <xdr:colOff>1165413</xdr:colOff>
      <xdr:row>58</xdr:row>
      <xdr:rowOff>44824</xdr:rowOff>
    </xdr:to>
    <xdr:sp macro="" textlink="">
      <xdr:nvSpPr>
        <xdr:cNvPr id="5145" name="Flèche vers le bas 514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57</xdr:row>
      <xdr:rowOff>313765</xdr:rowOff>
    </xdr:from>
    <xdr:to>
      <xdr:col>0</xdr:col>
      <xdr:colOff>1165413</xdr:colOff>
      <xdr:row>58</xdr:row>
      <xdr:rowOff>44824</xdr:rowOff>
    </xdr:to>
    <xdr:sp macro="" textlink="">
      <xdr:nvSpPr>
        <xdr:cNvPr id="5146" name="Flèche vers le bas 514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57</xdr:row>
      <xdr:rowOff>313765</xdr:rowOff>
    </xdr:from>
    <xdr:to>
      <xdr:col>0</xdr:col>
      <xdr:colOff>1165413</xdr:colOff>
      <xdr:row>58</xdr:row>
      <xdr:rowOff>44824</xdr:rowOff>
    </xdr:to>
    <xdr:sp macro="" textlink="">
      <xdr:nvSpPr>
        <xdr:cNvPr id="5147" name="Flèche vers le bas 514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57</xdr:row>
      <xdr:rowOff>313765</xdr:rowOff>
    </xdr:from>
    <xdr:to>
      <xdr:col>0</xdr:col>
      <xdr:colOff>1165413</xdr:colOff>
      <xdr:row>58</xdr:row>
      <xdr:rowOff>44824</xdr:rowOff>
    </xdr:to>
    <xdr:sp macro="" textlink="">
      <xdr:nvSpPr>
        <xdr:cNvPr id="5148" name="Flèche vers le bas 514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57</xdr:row>
      <xdr:rowOff>313765</xdr:rowOff>
    </xdr:from>
    <xdr:to>
      <xdr:col>0</xdr:col>
      <xdr:colOff>1165413</xdr:colOff>
      <xdr:row>58</xdr:row>
      <xdr:rowOff>44824</xdr:rowOff>
    </xdr:to>
    <xdr:sp macro="" textlink="">
      <xdr:nvSpPr>
        <xdr:cNvPr id="5149" name="Flèche vers le bas 514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57</xdr:row>
      <xdr:rowOff>313765</xdr:rowOff>
    </xdr:from>
    <xdr:to>
      <xdr:col>0</xdr:col>
      <xdr:colOff>1165413</xdr:colOff>
      <xdr:row>58</xdr:row>
      <xdr:rowOff>44824</xdr:rowOff>
    </xdr:to>
    <xdr:sp macro="" textlink="">
      <xdr:nvSpPr>
        <xdr:cNvPr id="5150" name="Flèche vers le bas 514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57</xdr:row>
      <xdr:rowOff>313765</xdr:rowOff>
    </xdr:from>
    <xdr:to>
      <xdr:col>0</xdr:col>
      <xdr:colOff>1165413</xdr:colOff>
      <xdr:row>58</xdr:row>
      <xdr:rowOff>44824</xdr:rowOff>
    </xdr:to>
    <xdr:sp macro="" textlink="">
      <xdr:nvSpPr>
        <xdr:cNvPr id="5151" name="Flèche vers le bas 515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57</xdr:row>
      <xdr:rowOff>313765</xdr:rowOff>
    </xdr:from>
    <xdr:to>
      <xdr:col>0</xdr:col>
      <xdr:colOff>1165413</xdr:colOff>
      <xdr:row>58</xdr:row>
      <xdr:rowOff>44824</xdr:rowOff>
    </xdr:to>
    <xdr:sp macro="" textlink="">
      <xdr:nvSpPr>
        <xdr:cNvPr id="5152" name="Flèche vers le bas 515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58</xdr:row>
      <xdr:rowOff>313765</xdr:rowOff>
    </xdr:from>
    <xdr:to>
      <xdr:col>0</xdr:col>
      <xdr:colOff>1165413</xdr:colOff>
      <xdr:row>59</xdr:row>
      <xdr:rowOff>44824</xdr:rowOff>
    </xdr:to>
    <xdr:sp macro="" textlink="">
      <xdr:nvSpPr>
        <xdr:cNvPr id="5153" name="Flèche vers le bas 515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58</xdr:row>
      <xdr:rowOff>313765</xdr:rowOff>
    </xdr:from>
    <xdr:to>
      <xdr:col>0</xdr:col>
      <xdr:colOff>1165413</xdr:colOff>
      <xdr:row>59</xdr:row>
      <xdr:rowOff>44824</xdr:rowOff>
    </xdr:to>
    <xdr:sp macro="" textlink="">
      <xdr:nvSpPr>
        <xdr:cNvPr id="5154" name="Flèche vers le bas 515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58</xdr:row>
      <xdr:rowOff>313765</xdr:rowOff>
    </xdr:from>
    <xdr:to>
      <xdr:col>0</xdr:col>
      <xdr:colOff>1165413</xdr:colOff>
      <xdr:row>59</xdr:row>
      <xdr:rowOff>44824</xdr:rowOff>
    </xdr:to>
    <xdr:sp macro="" textlink="">
      <xdr:nvSpPr>
        <xdr:cNvPr id="5155" name="Flèche vers le bas 515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58</xdr:row>
      <xdr:rowOff>313765</xdr:rowOff>
    </xdr:from>
    <xdr:to>
      <xdr:col>0</xdr:col>
      <xdr:colOff>1165413</xdr:colOff>
      <xdr:row>59</xdr:row>
      <xdr:rowOff>44824</xdr:rowOff>
    </xdr:to>
    <xdr:sp macro="" textlink="">
      <xdr:nvSpPr>
        <xdr:cNvPr id="5156" name="Flèche vers le bas 515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58</xdr:row>
      <xdr:rowOff>313765</xdr:rowOff>
    </xdr:from>
    <xdr:to>
      <xdr:col>0</xdr:col>
      <xdr:colOff>1165413</xdr:colOff>
      <xdr:row>59</xdr:row>
      <xdr:rowOff>44824</xdr:rowOff>
    </xdr:to>
    <xdr:sp macro="" textlink="">
      <xdr:nvSpPr>
        <xdr:cNvPr id="5157" name="Flèche vers le bas 515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58</xdr:row>
      <xdr:rowOff>313765</xdr:rowOff>
    </xdr:from>
    <xdr:to>
      <xdr:col>0</xdr:col>
      <xdr:colOff>1165413</xdr:colOff>
      <xdr:row>59</xdr:row>
      <xdr:rowOff>44824</xdr:rowOff>
    </xdr:to>
    <xdr:sp macro="" textlink="">
      <xdr:nvSpPr>
        <xdr:cNvPr id="5158" name="Flèche vers le bas 515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58</xdr:row>
      <xdr:rowOff>313765</xdr:rowOff>
    </xdr:from>
    <xdr:to>
      <xdr:col>0</xdr:col>
      <xdr:colOff>1165413</xdr:colOff>
      <xdr:row>59</xdr:row>
      <xdr:rowOff>44824</xdr:rowOff>
    </xdr:to>
    <xdr:sp macro="" textlink="">
      <xdr:nvSpPr>
        <xdr:cNvPr id="5159" name="Flèche vers le bas 515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58</xdr:row>
      <xdr:rowOff>313765</xdr:rowOff>
    </xdr:from>
    <xdr:to>
      <xdr:col>0</xdr:col>
      <xdr:colOff>1165413</xdr:colOff>
      <xdr:row>59</xdr:row>
      <xdr:rowOff>44824</xdr:rowOff>
    </xdr:to>
    <xdr:sp macro="" textlink="">
      <xdr:nvSpPr>
        <xdr:cNvPr id="5160" name="Flèche vers le bas 515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58</xdr:row>
      <xdr:rowOff>313765</xdr:rowOff>
    </xdr:from>
    <xdr:to>
      <xdr:col>0</xdr:col>
      <xdr:colOff>1165413</xdr:colOff>
      <xdr:row>59</xdr:row>
      <xdr:rowOff>44824</xdr:rowOff>
    </xdr:to>
    <xdr:sp macro="" textlink="">
      <xdr:nvSpPr>
        <xdr:cNvPr id="5161" name="Flèche vers le bas 516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58</xdr:row>
      <xdr:rowOff>313765</xdr:rowOff>
    </xdr:from>
    <xdr:to>
      <xdr:col>0</xdr:col>
      <xdr:colOff>1165413</xdr:colOff>
      <xdr:row>59</xdr:row>
      <xdr:rowOff>44824</xdr:rowOff>
    </xdr:to>
    <xdr:sp macro="" textlink="">
      <xdr:nvSpPr>
        <xdr:cNvPr id="5162" name="Flèche vers le bas 516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59</xdr:row>
      <xdr:rowOff>313765</xdr:rowOff>
    </xdr:from>
    <xdr:to>
      <xdr:col>0</xdr:col>
      <xdr:colOff>1165413</xdr:colOff>
      <xdr:row>60</xdr:row>
      <xdr:rowOff>44824</xdr:rowOff>
    </xdr:to>
    <xdr:sp macro="" textlink="">
      <xdr:nvSpPr>
        <xdr:cNvPr id="5163" name="Flèche vers le bas 516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59</xdr:row>
      <xdr:rowOff>313765</xdr:rowOff>
    </xdr:from>
    <xdr:to>
      <xdr:col>0</xdr:col>
      <xdr:colOff>1165413</xdr:colOff>
      <xdr:row>60</xdr:row>
      <xdr:rowOff>44824</xdr:rowOff>
    </xdr:to>
    <xdr:sp macro="" textlink="">
      <xdr:nvSpPr>
        <xdr:cNvPr id="5164" name="Flèche vers le bas 516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59</xdr:row>
      <xdr:rowOff>313765</xdr:rowOff>
    </xdr:from>
    <xdr:to>
      <xdr:col>0</xdr:col>
      <xdr:colOff>1165413</xdr:colOff>
      <xdr:row>60</xdr:row>
      <xdr:rowOff>44824</xdr:rowOff>
    </xdr:to>
    <xdr:sp macro="" textlink="">
      <xdr:nvSpPr>
        <xdr:cNvPr id="5165" name="Flèche vers le bas 516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59</xdr:row>
      <xdr:rowOff>313765</xdr:rowOff>
    </xdr:from>
    <xdr:to>
      <xdr:col>0</xdr:col>
      <xdr:colOff>1165413</xdr:colOff>
      <xdr:row>60</xdr:row>
      <xdr:rowOff>44824</xdr:rowOff>
    </xdr:to>
    <xdr:sp macro="" textlink="">
      <xdr:nvSpPr>
        <xdr:cNvPr id="5166" name="Flèche vers le bas 516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59</xdr:row>
      <xdr:rowOff>313765</xdr:rowOff>
    </xdr:from>
    <xdr:to>
      <xdr:col>0</xdr:col>
      <xdr:colOff>1165413</xdr:colOff>
      <xdr:row>60</xdr:row>
      <xdr:rowOff>44824</xdr:rowOff>
    </xdr:to>
    <xdr:sp macro="" textlink="">
      <xdr:nvSpPr>
        <xdr:cNvPr id="5167" name="Flèche vers le bas 516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59</xdr:row>
      <xdr:rowOff>313765</xdr:rowOff>
    </xdr:from>
    <xdr:to>
      <xdr:col>0</xdr:col>
      <xdr:colOff>1165413</xdr:colOff>
      <xdr:row>60</xdr:row>
      <xdr:rowOff>44824</xdr:rowOff>
    </xdr:to>
    <xdr:sp macro="" textlink="">
      <xdr:nvSpPr>
        <xdr:cNvPr id="5168" name="Flèche vers le bas 516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59</xdr:row>
      <xdr:rowOff>313765</xdr:rowOff>
    </xdr:from>
    <xdr:to>
      <xdr:col>0</xdr:col>
      <xdr:colOff>1165413</xdr:colOff>
      <xdr:row>60</xdr:row>
      <xdr:rowOff>44824</xdr:rowOff>
    </xdr:to>
    <xdr:sp macro="" textlink="">
      <xdr:nvSpPr>
        <xdr:cNvPr id="5169" name="Flèche vers le bas 516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59</xdr:row>
      <xdr:rowOff>313765</xdr:rowOff>
    </xdr:from>
    <xdr:to>
      <xdr:col>0</xdr:col>
      <xdr:colOff>1165413</xdr:colOff>
      <xdr:row>60</xdr:row>
      <xdr:rowOff>44824</xdr:rowOff>
    </xdr:to>
    <xdr:sp macro="" textlink="">
      <xdr:nvSpPr>
        <xdr:cNvPr id="5170" name="Flèche vers le bas 516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59</xdr:row>
      <xdr:rowOff>313765</xdr:rowOff>
    </xdr:from>
    <xdr:to>
      <xdr:col>0</xdr:col>
      <xdr:colOff>1165413</xdr:colOff>
      <xdr:row>60</xdr:row>
      <xdr:rowOff>44824</xdr:rowOff>
    </xdr:to>
    <xdr:sp macro="" textlink="">
      <xdr:nvSpPr>
        <xdr:cNvPr id="5171" name="Flèche vers le bas 517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59</xdr:row>
      <xdr:rowOff>313765</xdr:rowOff>
    </xdr:from>
    <xdr:to>
      <xdr:col>0</xdr:col>
      <xdr:colOff>1165413</xdr:colOff>
      <xdr:row>60</xdr:row>
      <xdr:rowOff>44824</xdr:rowOff>
    </xdr:to>
    <xdr:sp macro="" textlink="">
      <xdr:nvSpPr>
        <xdr:cNvPr id="5172" name="Flèche vers le bas 517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60</xdr:row>
      <xdr:rowOff>313765</xdr:rowOff>
    </xdr:from>
    <xdr:to>
      <xdr:col>0</xdr:col>
      <xdr:colOff>1165413</xdr:colOff>
      <xdr:row>61</xdr:row>
      <xdr:rowOff>44824</xdr:rowOff>
    </xdr:to>
    <xdr:sp macro="" textlink="">
      <xdr:nvSpPr>
        <xdr:cNvPr id="5173" name="Flèche vers le bas 517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60</xdr:row>
      <xdr:rowOff>313765</xdr:rowOff>
    </xdr:from>
    <xdr:to>
      <xdr:col>0</xdr:col>
      <xdr:colOff>1165413</xdr:colOff>
      <xdr:row>61</xdr:row>
      <xdr:rowOff>44824</xdr:rowOff>
    </xdr:to>
    <xdr:sp macro="" textlink="">
      <xdr:nvSpPr>
        <xdr:cNvPr id="5174" name="Flèche vers le bas 517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60</xdr:row>
      <xdr:rowOff>313765</xdr:rowOff>
    </xdr:from>
    <xdr:to>
      <xdr:col>0</xdr:col>
      <xdr:colOff>1165413</xdr:colOff>
      <xdr:row>61</xdr:row>
      <xdr:rowOff>44824</xdr:rowOff>
    </xdr:to>
    <xdr:sp macro="" textlink="">
      <xdr:nvSpPr>
        <xdr:cNvPr id="5175" name="Flèche vers le bas 517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60</xdr:row>
      <xdr:rowOff>313765</xdr:rowOff>
    </xdr:from>
    <xdr:to>
      <xdr:col>0</xdr:col>
      <xdr:colOff>1165413</xdr:colOff>
      <xdr:row>61</xdr:row>
      <xdr:rowOff>44824</xdr:rowOff>
    </xdr:to>
    <xdr:sp macro="" textlink="">
      <xdr:nvSpPr>
        <xdr:cNvPr id="5176" name="Flèche vers le bas 517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60</xdr:row>
      <xdr:rowOff>313765</xdr:rowOff>
    </xdr:from>
    <xdr:to>
      <xdr:col>0</xdr:col>
      <xdr:colOff>1165413</xdr:colOff>
      <xdr:row>61</xdr:row>
      <xdr:rowOff>44824</xdr:rowOff>
    </xdr:to>
    <xdr:sp macro="" textlink="">
      <xdr:nvSpPr>
        <xdr:cNvPr id="5177" name="Flèche vers le bas 517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60</xdr:row>
      <xdr:rowOff>313765</xdr:rowOff>
    </xdr:from>
    <xdr:to>
      <xdr:col>0</xdr:col>
      <xdr:colOff>1165413</xdr:colOff>
      <xdr:row>61</xdr:row>
      <xdr:rowOff>44824</xdr:rowOff>
    </xdr:to>
    <xdr:sp macro="" textlink="">
      <xdr:nvSpPr>
        <xdr:cNvPr id="5178" name="Flèche vers le bas 517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60</xdr:row>
      <xdr:rowOff>313765</xdr:rowOff>
    </xdr:from>
    <xdr:to>
      <xdr:col>0</xdr:col>
      <xdr:colOff>1165413</xdr:colOff>
      <xdr:row>61</xdr:row>
      <xdr:rowOff>44824</xdr:rowOff>
    </xdr:to>
    <xdr:sp macro="" textlink="">
      <xdr:nvSpPr>
        <xdr:cNvPr id="5179" name="Flèche vers le bas 517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60</xdr:row>
      <xdr:rowOff>313765</xdr:rowOff>
    </xdr:from>
    <xdr:to>
      <xdr:col>0</xdr:col>
      <xdr:colOff>1165413</xdr:colOff>
      <xdr:row>61</xdr:row>
      <xdr:rowOff>44824</xdr:rowOff>
    </xdr:to>
    <xdr:sp macro="" textlink="">
      <xdr:nvSpPr>
        <xdr:cNvPr id="5180" name="Flèche vers le bas 517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60</xdr:row>
      <xdr:rowOff>313765</xdr:rowOff>
    </xdr:from>
    <xdr:to>
      <xdr:col>0</xdr:col>
      <xdr:colOff>1165413</xdr:colOff>
      <xdr:row>61</xdr:row>
      <xdr:rowOff>44824</xdr:rowOff>
    </xdr:to>
    <xdr:sp macro="" textlink="">
      <xdr:nvSpPr>
        <xdr:cNvPr id="5181" name="Flèche vers le bas 518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60</xdr:row>
      <xdr:rowOff>313765</xdr:rowOff>
    </xdr:from>
    <xdr:to>
      <xdr:col>0</xdr:col>
      <xdr:colOff>1165413</xdr:colOff>
      <xdr:row>61</xdr:row>
      <xdr:rowOff>44824</xdr:rowOff>
    </xdr:to>
    <xdr:sp macro="" textlink="">
      <xdr:nvSpPr>
        <xdr:cNvPr id="5182" name="Flèche vers le bas 518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61</xdr:row>
      <xdr:rowOff>313765</xdr:rowOff>
    </xdr:from>
    <xdr:to>
      <xdr:col>0</xdr:col>
      <xdr:colOff>1165413</xdr:colOff>
      <xdr:row>62</xdr:row>
      <xdr:rowOff>44824</xdr:rowOff>
    </xdr:to>
    <xdr:sp macro="" textlink="">
      <xdr:nvSpPr>
        <xdr:cNvPr id="5183" name="Flèche vers le bas 518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61</xdr:row>
      <xdr:rowOff>313765</xdr:rowOff>
    </xdr:from>
    <xdr:to>
      <xdr:col>0</xdr:col>
      <xdr:colOff>1165413</xdr:colOff>
      <xdr:row>62</xdr:row>
      <xdr:rowOff>44824</xdr:rowOff>
    </xdr:to>
    <xdr:sp macro="" textlink="">
      <xdr:nvSpPr>
        <xdr:cNvPr id="5184" name="Flèche vers le bas 518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61</xdr:row>
      <xdr:rowOff>313765</xdr:rowOff>
    </xdr:from>
    <xdr:to>
      <xdr:col>0</xdr:col>
      <xdr:colOff>1165413</xdr:colOff>
      <xdr:row>62</xdr:row>
      <xdr:rowOff>44824</xdr:rowOff>
    </xdr:to>
    <xdr:sp macro="" textlink="">
      <xdr:nvSpPr>
        <xdr:cNvPr id="5185" name="Flèche vers le bas 518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61</xdr:row>
      <xdr:rowOff>313765</xdr:rowOff>
    </xdr:from>
    <xdr:to>
      <xdr:col>0</xdr:col>
      <xdr:colOff>1165413</xdr:colOff>
      <xdr:row>62</xdr:row>
      <xdr:rowOff>44824</xdr:rowOff>
    </xdr:to>
    <xdr:sp macro="" textlink="">
      <xdr:nvSpPr>
        <xdr:cNvPr id="5186" name="Flèche vers le bas 518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61</xdr:row>
      <xdr:rowOff>313765</xdr:rowOff>
    </xdr:from>
    <xdr:to>
      <xdr:col>0</xdr:col>
      <xdr:colOff>1165413</xdr:colOff>
      <xdr:row>62</xdr:row>
      <xdr:rowOff>44824</xdr:rowOff>
    </xdr:to>
    <xdr:sp macro="" textlink="">
      <xdr:nvSpPr>
        <xdr:cNvPr id="5187" name="Flèche vers le bas 518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61</xdr:row>
      <xdr:rowOff>313765</xdr:rowOff>
    </xdr:from>
    <xdr:to>
      <xdr:col>0</xdr:col>
      <xdr:colOff>1165413</xdr:colOff>
      <xdr:row>62</xdr:row>
      <xdr:rowOff>44824</xdr:rowOff>
    </xdr:to>
    <xdr:sp macro="" textlink="">
      <xdr:nvSpPr>
        <xdr:cNvPr id="5188" name="Flèche vers le bas 518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61</xdr:row>
      <xdr:rowOff>313765</xdr:rowOff>
    </xdr:from>
    <xdr:to>
      <xdr:col>0</xdr:col>
      <xdr:colOff>1165413</xdr:colOff>
      <xdr:row>62</xdr:row>
      <xdr:rowOff>44824</xdr:rowOff>
    </xdr:to>
    <xdr:sp macro="" textlink="">
      <xdr:nvSpPr>
        <xdr:cNvPr id="5189" name="Flèche vers le bas 518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61</xdr:row>
      <xdr:rowOff>313765</xdr:rowOff>
    </xdr:from>
    <xdr:to>
      <xdr:col>0</xdr:col>
      <xdr:colOff>1165413</xdr:colOff>
      <xdr:row>62</xdr:row>
      <xdr:rowOff>44824</xdr:rowOff>
    </xdr:to>
    <xdr:sp macro="" textlink="">
      <xdr:nvSpPr>
        <xdr:cNvPr id="5190" name="Flèche vers le bas 518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61</xdr:row>
      <xdr:rowOff>313765</xdr:rowOff>
    </xdr:from>
    <xdr:to>
      <xdr:col>0</xdr:col>
      <xdr:colOff>1165413</xdr:colOff>
      <xdr:row>62</xdr:row>
      <xdr:rowOff>44824</xdr:rowOff>
    </xdr:to>
    <xdr:sp macro="" textlink="">
      <xdr:nvSpPr>
        <xdr:cNvPr id="5191" name="Flèche vers le bas 519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61</xdr:row>
      <xdr:rowOff>313765</xdr:rowOff>
    </xdr:from>
    <xdr:to>
      <xdr:col>0</xdr:col>
      <xdr:colOff>1165413</xdr:colOff>
      <xdr:row>62</xdr:row>
      <xdr:rowOff>44824</xdr:rowOff>
    </xdr:to>
    <xdr:sp macro="" textlink="">
      <xdr:nvSpPr>
        <xdr:cNvPr id="5192" name="Flèche vers le bas 519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62</xdr:row>
      <xdr:rowOff>313765</xdr:rowOff>
    </xdr:from>
    <xdr:to>
      <xdr:col>0</xdr:col>
      <xdr:colOff>1165413</xdr:colOff>
      <xdr:row>63</xdr:row>
      <xdr:rowOff>44824</xdr:rowOff>
    </xdr:to>
    <xdr:sp macro="" textlink="">
      <xdr:nvSpPr>
        <xdr:cNvPr id="5193" name="Flèche vers le bas 519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62</xdr:row>
      <xdr:rowOff>313765</xdr:rowOff>
    </xdr:from>
    <xdr:to>
      <xdr:col>0</xdr:col>
      <xdr:colOff>1165413</xdr:colOff>
      <xdr:row>63</xdr:row>
      <xdr:rowOff>44824</xdr:rowOff>
    </xdr:to>
    <xdr:sp macro="" textlink="">
      <xdr:nvSpPr>
        <xdr:cNvPr id="5194" name="Flèche vers le bas 519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62</xdr:row>
      <xdr:rowOff>313765</xdr:rowOff>
    </xdr:from>
    <xdr:to>
      <xdr:col>0</xdr:col>
      <xdr:colOff>1165413</xdr:colOff>
      <xdr:row>63</xdr:row>
      <xdr:rowOff>44824</xdr:rowOff>
    </xdr:to>
    <xdr:sp macro="" textlink="">
      <xdr:nvSpPr>
        <xdr:cNvPr id="5195" name="Flèche vers le bas 519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62</xdr:row>
      <xdr:rowOff>313765</xdr:rowOff>
    </xdr:from>
    <xdr:to>
      <xdr:col>0</xdr:col>
      <xdr:colOff>1165413</xdr:colOff>
      <xdr:row>63</xdr:row>
      <xdr:rowOff>44824</xdr:rowOff>
    </xdr:to>
    <xdr:sp macro="" textlink="">
      <xdr:nvSpPr>
        <xdr:cNvPr id="5196" name="Flèche vers le bas 519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62</xdr:row>
      <xdr:rowOff>313765</xdr:rowOff>
    </xdr:from>
    <xdr:to>
      <xdr:col>0</xdr:col>
      <xdr:colOff>1165413</xdr:colOff>
      <xdr:row>63</xdr:row>
      <xdr:rowOff>44824</xdr:rowOff>
    </xdr:to>
    <xdr:sp macro="" textlink="">
      <xdr:nvSpPr>
        <xdr:cNvPr id="5197" name="Flèche vers le bas 519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62</xdr:row>
      <xdr:rowOff>313765</xdr:rowOff>
    </xdr:from>
    <xdr:to>
      <xdr:col>0</xdr:col>
      <xdr:colOff>1165413</xdr:colOff>
      <xdr:row>63</xdr:row>
      <xdr:rowOff>44824</xdr:rowOff>
    </xdr:to>
    <xdr:sp macro="" textlink="">
      <xdr:nvSpPr>
        <xdr:cNvPr id="5198" name="Flèche vers le bas 519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62</xdr:row>
      <xdr:rowOff>313765</xdr:rowOff>
    </xdr:from>
    <xdr:to>
      <xdr:col>0</xdr:col>
      <xdr:colOff>1165413</xdr:colOff>
      <xdr:row>63</xdr:row>
      <xdr:rowOff>44824</xdr:rowOff>
    </xdr:to>
    <xdr:sp macro="" textlink="">
      <xdr:nvSpPr>
        <xdr:cNvPr id="5199" name="Flèche vers le bas 519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62</xdr:row>
      <xdr:rowOff>313765</xdr:rowOff>
    </xdr:from>
    <xdr:to>
      <xdr:col>0</xdr:col>
      <xdr:colOff>1165413</xdr:colOff>
      <xdr:row>63</xdr:row>
      <xdr:rowOff>44824</xdr:rowOff>
    </xdr:to>
    <xdr:sp macro="" textlink="">
      <xdr:nvSpPr>
        <xdr:cNvPr id="5200" name="Flèche vers le bas 519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62</xdr:row>
      <xdr:rowOff>313765</xdr:rowOff>
    </xdr:from>
    <xdr:to>
      <xdr:col>0</xdr:col>
      <xdr:colOff>1165413</xdr:colOff>
      <xdr:row>63</xdr:row>
      <xdr:rowOff>44824</xdr:rowOff>
    </xdr:to>
    <xdr:sp macro="" textlink="">
      <xdr:nvSpPr>
        <xdr:cNvPr id="5201" name="Flèche vers le bas 520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62</xdr:row>
      <xdr:rowOff>313765</xdr:rowOff>
    </xdr:from>
    <xdr:to>
      <xdr:col>0</xdr:col>
      <xdr:colOff>1165413</xdr:colOff>
      <xdr:row>63</xdr:row>
      <xdr:rowOff>44824</xdr:rowOff>
    </xdr:to>
    <xdr:sp macro="" textlink="">
      <xdr:nvSpPr>
        <xdr:cNvPr id="5202" name="Flèche vers le bas 520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63</xdr:row>
      <xdr:rowOff>313765</xdr:rowOff>
    </xdr:from>
    <xdr:to>
      <xdr:col>0</xdr:col>
      <xdr:colOff>1165413</xdr:colOff>
      <xdr:row>64</xdr:row>
      <xdr:rowOff>44824</xdr:rowOff>
    </xdr:to>
    <xdr:sp macro="" textlink="">
      <xdr:nvSpPr>
        <xdr:cNvPr id="5203" name="Flèche vers le bas 520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63</xdr:row>
      <xdr:rowOff>313765</xdr:rowOff>
    </xdr:from>
    <xdr:to>
      <xdr:col>0</xdr:col>
      <xdr:colOff>1165413</xdr:colOff>
      <xdr:row>64</xdr:row>
      <xdr:rowOff>44824</xdr:rowOff>
    </xdr:to>
    <xdr:sp macro="" textlink="">
      <xdr:nvSpPr>
        <xdr:cNvPr id="5204" name="Flèche vers le bas 520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63</xdr:row>
      <xdr:rowOff>313765</xdr:rowOff>
    </xdr:from>
    <xdr:to>
      <xdr:col>0</xdr:col>
      <xdr:colOff>1165413</xdr:colOff>
      <xdr:row>64</xdr:row>
      <xdr:rowOff>44824</xdr:rowOff>
    </xdr:to>
    <xdr:sp macro="" textlink="">
      <xdr:nvSpPr>
        <xdr:cNvPr id="5205" name="Flèche vers le bas 520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63</xdr:row>
      <xdr:rowOff>313765</xdr:rowOff>
    </xdr:from>
    <xdr:to>
      <xdr:col>0</xdr:col>
      <xdr:colOff>1165413</xdr:colOff>
      <xdr:row>64</xdr:row>
      <xdr:rowOff>44824</xdr:rowOff>
    </xdr:to>
    <xdr:sp macro="" textlink="">
      <xdr:nvSpPr>
        <xdr:cNvPr id="5206" name="Flèche vers le bas 520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63</xdr:row>
      <xdr:rowOff>313765</xdr:rowOff>
    </xdr:from>
    <xdr:to>
      <xdr:col>0</xdr:col>
      <xdr:colOff>1165413</xdr:colOff>
      <xdr:row>64</xdr:row>
      <xdr:rowOff>44824</xdr:rowOff>
    </xdr:to>
    <xdr:sp macro="" textlink="">
      <xdr:nvSpPr>
        <xdr:cNvPr id="5207" name="Flèche vers le bas 520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63</xdr:row>
      <xdr:rowOff>313765</xdr:rowOff>
    </xdr:from>
    <xdr:to>
      <xdr:col>0</xdr:col>
      <xdr:colOff>1165413</xdr:colOff>
      <xdr:row>64</xdr:row>
      <xdr:rowOff>44824</xdr:rowOff>
    </xdr:to>
    <xdr:sp macro="" textlink="">
      <xdr:nvSpPr>
        <xdr:cNvPr id="5208" name="Flèche vers le bas 520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63</xdr:row>
      <xdr:rowOff>313765</xdr:rowOff>
    </xdr:from>
    <xdr:to>
      <xdr:col>0</xdr:col>
      <xdr:colOff>1165413</xdr:colOff>
      <xdr:row>64</xdr:row>
      <xdr:rowOff>44824</xdr:rowOff>
    </xdr:to>
    <xdr:sp macro="" textlink="">
      <xdr:nvSpPr>
        <xdr:cNvPr id="5209" name="Flèche vers le bas 520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63</xdr:row>
      <xdr:rowOff>313765</xdr:rowOff>
    </xdr:from>
    <xdr:to>
      <xdr:col>0</xdr:col>
      <xdr:colOff>1165413</xdr:colOff>
      <xdr:row>64</xdr:row>
      <xdr:rowOff>44824</xdr:rowOff>
    </xdr:to>
    <xdr:sp macro="" textlink="">
      <xdr:nvSpPr>
        <xdr:cNvPr id="5210" name="Flèche vers le bas 520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63</xdr:row>
      <xdr:rowOff>313765</xdr:rowOff>
    </xdr:from>
    <xdr:to>
      <xdr:col>0</xdr:col>
      <xdr:colOff>1165413</xdr:colOff>
      <xdr:row>64</xdr:row>
      <xdr:rowOff>44824</xdr:rowOff>
    </xdr:to>
    <xdr:sp macro="" textlink="">
      <xdr:nvSpPr>
        <xdr:cNvPr id="5211" name="Flèche vers le bas 521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63</xdr:row>
      <xdr:rowOff>313765</xdr:rowOff>
    </xdr:from>
    <xdr:to>
      <xdr:col>0</xdr:col>
      <xdr:colOff>1165413</xdr:colOff>
      <xdr:row>64</xdr:row>
      <xdr:rowOff>44824</xdr:rowOff>
    </xdr:to>
    <xdr:sp macro="" textlink="">
      <xdr:nvSpPr>
        <xdr:cNvPr id="5212" name="Flèche vers le bas 521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64</xdr:row>
      <xdr:rowOff>313765</xdr:rowOff>
    </xdr:from>
    <xdr:to>
      <xdr:col>0</xdr:col>
      <xdr:colOff>1165413</xdr:colOff>
      <xdr:row>65</xdr:row>
      <xdr:rowOff>44824</xdr:rowOff>
    </xdr:to>
    <xdr:sp macro="" textlink="">
      <xdr:nvSpPr>
        <xdr:cNvPr id="5213" name="Flèche vers le bas 521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64</xdr:row>
      <xdr:rowOff>313765</xdr:rowOff>
    </xdr:from>
    <xdr:to>
      <xdr:col>0</xdr:col>
      <xdr:colOff>1165413</xdr:colOff>
      <xdr:row>65</xdr:row>
      <xdr:rowOff>44824</xdr:rowOff>
    </xdr:to>
    <xdr:sp macro="" textlink="">
      <xdr:nvSpPr>
        <xdr:cNvPr id="5214" name="Flèche vers le bas 521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64</xdr:row>
      <xdr:rowOff>313765</xdr:rowOff>
    </xdr:from>
    <xdr:to>
      <xdr:col>0</xdr:col>
      <xdr:colOff>1165413</xdr:colOff>
      <xdr:row>65</xdr:row>
      <xdr:rowOff>44824</xdr:rowOff>
    </xdr:to>
    <xdr:sp macro="" textlink="">
      <xdr:nvSpPr>
        <xdr:cNvPr id="5215" name="Flèche vers le bas 521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64</xdr:row>
      <xdr:rowOff>313765</xdr:rowOff>
    </xdr:from>
    <xdr:to>
      <xdr:col>0</xdr:col>
      <xdr:colOff>1165413</xdr:colOff>
      <xdr:row>65</xdr:row>
      <xdr:rowOff>44824</xdr:rowOff>
    </xdr:to>
    <xdr:sp macro="" textlink="">
      <xdr:nvSpPr>
        <xdr:cNvPr id="5216" name="Flèche vers le bas 521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64</xdr:row>
      <xdr:rowOff>313765</xdr:rowOff>
    </xdr:from>
    <xdr:to>
      <xdr:col>0</xdr:col>
      <xdr:colOff>1165413</xdr:colOff>
      <xdr:row>65</xdr:row>
      <xdr:rowOff>44824</xdr:rowOff>
    </xdr:to>
    <xdr:sp macro="" textlink="">
      <xdr:nvSpPr>
        <xdr:cNvPr id="5217" name="Flèche vers le bas 521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64</xdr:row>
      <xdr:rowOff>313765</xdr:rowOff>
    </xdr:from>
    <xdr:to>
      <xdr:col>0</xdr:col>
      <xdr:colOff>1165413</xdr:colOff>
      <xdr:row>65</xdr:row>
      <xdr:rowOff>44824</xdr:rowOff>
    </xdr:to>
    <xdr:sp macro="" textlink="">
      <xdr:nvSpPr>
        <xdr:cNvPr id="5218" name="Flèche vers le bas 521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64</xdr:row>
      <xdr:rowOff>313765</xdr:rowOff>
    </xdr:from>
    <xdr:to>
      <xdr:col>0</xdr:col>
      <xdr:colOff>1165413</xdr:colOff>
      <xdr:row>65</xdr:row>
      <xdr:rowOff>44824</xdr:rowOff>
    </xdr:to>
    <xdr:sp macro="" textlink="">
      <xdr:nvSpPr>
        <xdr:cNvPr id="5219" name="Flèche vers le bas 521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64</xdr:row>
      <xdr:rowOff>313765</xdr:rowOff>
    </xdr:from>
    <xdr:to>
      <xdr:col>0</xdr:col>
      <xdr:colOff>1165413</xdr:colOff>
      <xdr:row>65</xdr:row>
      <xdr:rowOff>44824</xdr:rowOff>
    </xdr:to>
    <xdr:sp macro="" textlink="">
      <xdr:nvSpPr>
        <xdr:cNvPr id="5220" name="Flèche vers le bas 521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64</xdr:row>
      <xdr:rowOff>313765</xdr:rowOff>
    </xdr:from>
    <xdr:to>
      <xdr:col>0</xdr:col>
      <xdr:colOff>1165413</xdr:colOff>
      <xdr:row>65</xdr:row>
      <xdr:rowOff>44824</xdr:rowOff>
    </xdr:to>
    <xdr:sp macro="" textlink="">
      <xdr:nvSpPr>
        <xdr:cNvPr id="5221" name="Flèche vers le bas 522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64</xdr:row>
      <xdr:rowOff>313765</xdr:rowOff>
    </xdr:from>
    <xdr:to>
      <xdr:col>0</xdr:col>
      <xdr:colOff>1165413</xdr:colOff>
      <xdr:row>65</xdr:row>
      <xdr:rowOff>44824</xdr:rowOff>
    </xdr:to>
    <xdr:sp macro="" textlink="">
      <xdr:nvSpPr>
        <xdr:cNvPr id="5222" name="Flèche vers le bas 522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65</xdr:row>
      <xdr:rowOff>313765</xdr:rowOff>
    </xdr:from>
    <xdr:to>
      <xdr:col>0</xdr:col>
      <xdr:colOff>1165413</xdr:colOff>
      <xdr:row>66</xdr:row>
      <xdr:rowOff>44824</xdr:rowOff>
    </xdr:to>
    <xdr:sp macro="" textlink="">
      <xdr:nvSpPr>
        <xdr:cNvPr id="5223" name="Flèche vers le bas 522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65</xdr:row>
      <xdr:rowOff>313765</xdr:rowOff>
    </xdr:from>
    <xdr:to>
      <xdr:col>0</xdr:col>
      <xdr:colOff>1165413</xdr:colOff>
      <xdr:row>66</xdr:row>
      <xdr:rowOff>44824</xdr:rowOff>
    </xdr:to>
    <xdr:sp macro="" textlink="">
      <xdr:nvSpPr>
        <xdr:cNvPr id="5224" name="Flèche vers le bas 522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65</xdr:row>
      <xdr:rowOff>313765</xdr:rowOff>
    </xdr:from>
    <xdr:to>
      <xdr:col>0</xdr:col>
      <xdr:colOff>1165413</xdr:colOff>
      <xdr:row>66</xdr:row>
      <xdr:rowOff>44824</xdr:rowOff>
    </xdr:to>
    <xdr:sp macro="" textlink="">
      <xdr:nvSpPr>
        <xdr:cNvPr id="5225" name="Flèche vers le bas 522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65</xdr:row>
      <xdr:rowOff>313765</xdr:rowOff>
    </xdr:from>
    <xdr:to>
      <xdr:col>0</xdr:col>
      <xdr:colOff>1165413</xdr:colOff>
      <xdr:row>66</xdr:row>
      <xdr:rowOff>44824</xdr:rowOff>
    </xdr:to>
    <xdr:sp macro="" textlink="">
      <xdr:nvSpPr>
        <xdr:cNvPr id="5226" name="Flèche vers le bas 522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65</xdr:row>
      <xdr:rowOff>313765</xdr:rowOff>
    </xdr:from>
    <xdr:to>
      <xdr:col>0</xdr:col>
      <xdr:colOff>1165413</xdr:colOff>
      <xdr:row>66</xdr:row>
      <xdr:rowOff>44824</xdr:rowOff>
    </xdr:to>
    <xdr:sp macro="" textlink="">
      <xdr:nvSpPr>
        <xdr:cNvPr id="5227" name="Flèche vers le bas 522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65</xdr:row>
      <xdr:rowOff>313765</xdr:rowOff>
    </xdr:from>
    <xdr:to>
      <xdr:col>0</xdr:col>
      <xdr:colOff>1165413</xdr:colOff>
      <xdr:row>66</xdr:row>
      <xdr:rowOff>44824</xdr:rowOff>
    </xdr:to>
    <xdr:sp macro="" textlink="">
      <xdr:nvSpPr>
        <xdr:cNvPr id="5228" name="Flèche vers le bas 522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65</xdr:row>
      <xdr:rowOff>313765</xdr:rowOff>
    </xdr:from>
    <xdr:to>
      <xdr:col>0</xdr:col>
      <xdr:colOff>1165413</xdr:colOff>
      <xdr:row>66</xdr:row>
      <xdr:rowOff>44824</xdr:rowOff>
    </xdr:to>
    <xdr:sp macro="" textlink="">
      <xdr:nvSpPr>
        <xdr:cNvPr id="5229" name="Flèche vers le bas 522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65</xdr:row>
      <xdr:rowOff>313765</xdr:rowOff>
    </xdr:from>
    <xdr:to>
      <xdr:col>0</xdr:col>
      <xdr:colOff>1165413</xdr:colOff>
      <xdr:row>66</xdr:row>
      <xdr:rowOff>44824</xdr:rowOff>
    </xdr:to>
    <xdr:sp macro="" textlink="">
      <xdr:nvSpPr>
        <xdr:cNvPr id="5230" name="Flèche vers le bas 522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65</xdr:row>
      <xdr:rowOff>313765</xdr:rowOff>
    </xdr:from>
    <xdr:to>
      <xdr:col>0</xdr:col>
      <xdr:colOff>1165413</xdr:colOff>
      <xdr:row>66</xdr:row>
      <xdr:rowOff>44824</xdr:rowOff>
    </xdr:to>
    <xdr:sp macro="" textlink="">
      <xdr:nvSpPr>
        <xdr:cNvPr id="5231" name="Flèche vers le bas 523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65</xdr:row>
      <xdr:rowOff>313765</xdr:rowOff>
    </xdr:from>
    <xdr:to>
      <xdr:col>0</xdr:col>
      <xdr:colOff>1165413</xdr:colOff>
      <xdr:row>66</xdr:row>
      <xdr:rowOff>44824</xdr:rowOff>
    </xdr:to>
    <xdr:sp macro="" textlink="">
      <xdr:nvSpPr>
        <xdr:cNvPr id="5232" name="Flèche vers le bas 523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66</xdr:row>
      <xdr:rowOff>313765</xdr:rowOff>
    </xdr:from>
    <xdr:to>
      <xdr:col>0</xdr:col>
      <xdr:colOff>1165413</xdr:colOff>
      <xdr:row>67</xdr:row>
      <xdr:rowOff>44824</xdr:rowOff>
    </xdr:to>
    <xdr:sp macro="" textlink="">
      <xdr:nvSpPr>
        <xdr:cNvPr id="5233" name="Flèche vers le bas 523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66</xdr:row>
      <xdr:rowOff>313765</xdr:rowOff>
    </xdr:from>
    <xdr:to>
      <xdr:col>0</xdr:col>
      <xdr:colOff>1165413</xdr:colOff>
      <xdr:row>67</xdr:row>
      <xdr:rowOff>44824</xdr:rowOff>
    </xdr:to>
    <xdr:sp macro="" textlink="">
      <xdr:nvSpPr>
        <xdr:cNvPr id="5234" name="Flèche vers le bas 523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66</xdr:row>
      <xdr:rowOff>313765</xdr:rowOff>
    </xdr:from>
    <xdr:to>
      <xdr:col>0</xdr:col>
      <xdr:colOff>1165413</xdr:colOff>
      <xdr:row>67</xdr:row>
      <xdr:rowOff>44824</xdr:rowOff>
    </xdr:to>
    <xdr:sp macro="" textlink="">
      <xdr:nvSpPr>
        <xdr:cNvPr id="5235" name="Flèche vers le bas 523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66</xdr:row>
      <xdr:rowOff>313765</xdr:rowOff>
    </xdr:from>
    <xdr:to>
      <xdr:col>0</xdr:col>
      <xdr:colOff>1165413</xdr:colOff>
      <xdr:row>67</xdr:row>
      <xdr:rowOff>44824</xdr:rowOff>
    </xdr:to>
    <xdr:sp macro="" textlink="">
      <xdr:nvSpPr>
        <xdr:cNvPr id="5236" name="Flèche vers le bas 523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66</xdr:row>
      <xdr:rowOff>313765</xdr:rowOff>
    </xdr:from>
    <xdr:to>
      <xdr:col>0</xdr:col>
      <xdr:colOff>1165413</xdr:colOff>
      <xdr:row>67</xdr:row>
      <xdr:rowOff>44824</xdr:rowOff>
    </xdr:to>
    <xdr:sp macro="" textlink="">
      <xdr:nvSpPr>
        <xdr:cNvPr id="5237" name="Flèche vers le bas 523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66</xdr:row>
      <xdr:rowOff>313765</xdr:rowOff>
    </xdr:from>
    <xdr:to>
      <xdr:col>0</xdr:col>
      <xdr:colOff>1165413</xdr:colOff>
      <xdr:row>67</xdr:row>
      <xdr:rowOff>44824</xdr:rowOff>
    </xdr:to>
    <xdr:sp macro="" textlink="">
      <xdr:nvSpPr>
        <xdr:cNvPr id="5238" name="Flèche vers le bas 523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66</xdr:row>
      <xdr:rowOff>313765</xdr:rowOff>
    </xdr:from>
    <xdr:to>
      <xdr:col>0</xdr:col>
      <xdr:colOff>1165413</xdr:colOff>
      <xdr:row>67</xdr:row>
      <xdr:rowOff>44824</xdr:rowOff>
    </xdr:to>
    <xdr:sp macro="" textlink="">
      <xdr:nvSpPr>
        <xdr:cNvPr id="5239" name="Flèche vers le bas 523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66</xdr:row>
      <xdr:rowOff>313765</xdr:rowOff>
    </xdr:from>
    <xdr:to>
      <xdr:col>0</xdr:col>
      <xdr:colOff>1165413</xdr:colOff>
      <xdr:row>67</xdr:row>
      <xdr:rowOff>44824</xdr:rowOff>
    </xdr:to>
    <xdr:sp macro="" textlink="">
      <xdr:nvSpPr>
        <xdr:cNvPr id="5240" name="Flèche vers le bas 523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66</xdr:row>
      <xdr:rowOff>313765</xdr:rowOff>
    </xdr:from>
    <xdr:to>
      <xdr:col>0</xdr:col>
      <xdr:colOff>1165413</xdr:colOff>
      <xdr:row>67</xdr:row>
      <xdr:rowOff>44824</xdr:rowOff>
    </xdr:to>
    <xdr:sp macro="" textlink="">
      <xdr:nvSpPr>
        <xdr:cNvPr id="5241" name="Flèche vers le bas 524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66</xdr:row>
      <xdr:rowOff>313765</xdr:rowOff>
    </xdr:from>
    <xdr:to>
      <xdr:col>0</xdr:col>
      <xdr:colOff>1165413</xdr:colOff>
      <xdr:row>67</xdr:row>
      <xdr:rowOff>44824</xdr:rowOff>
    </xdr:to>
    <xdr:sp macro="" textlink="">
      <xdr:nvSpPr>
        <xdr:cNvPr id="5242" name="Flèche vers le bas 524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67</xdr:row>
      <xdr:rowOff>313765</xdr:rowOff>
    </xdr:from>
    <xdr:to>
      <xdr:col>0</xdr:col>
      <xdr:colOff>1165413</xdr:colOff>
      <xdr:row>68</xdr:row>
      <xdr:rowOff>44824</xdr:rowOff>
    </xdr:to>
    <xdr:sp macro="" textlink="">
      <xdr:nvSpPr>
        <xdr:cNvPr id="5243" name="Flèche vers le bas 524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67</xdr:row>
      <xdr:rowOff>313765</xdr:rowOff>
    </xdr:from>
    <xdr:to>
      <xdr:col>0</xdr:col>
      <xdr:colOff>1165413</xdr:colOff>
      <xdr:row>68</xdr:row>
      <xdr:rowOff>44824</xdr:rowOff>
    </xdr:to>
    <xdr:sp macro="" textlink="">
      <xdr:nvSpPr>
        <xdr:cNvPr id="5244" name="Flèche vers le bas 524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67</xdr:row>
      <xdr:rowOff>313765</xdr:rowOff>
    </xdr:from>
    <xdr:to>
      <xdr:col>0</xdr:col>
      <xdr:colOff>1165413</xdr:colOff>
      <xdr:row>68</xdr:row>
      <xdr:rowOff>44824</xdr:rowOff>
    </xdr:to>
    <xdr:sp macro="" textlink="">
      <xdr:nvSpPr>
        <xdr:cNvPr id="5245" name="Flèche vers le bas 524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67</xdr:row>
      <xdr:rowOff>313765</xdr:rowOff>
    </xdr:from>
    <xdr:to>
      <xdr:col>0</xdr:col>
      <xdr:colOff>1165413</xdr:colOff>
      <xdr:row>68</xdr:row>
      <xdr:rowOff>44824</xdr:rowOff>
    </xdr:to>
    <xdr:sp macro="" textlink="">
      <xdr:nvSpPr>
        <xdr:cNvPr id="5246" name="Flèche vers le bas 524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67</xdr:row>
      <xdr:rowOff>313765</xdr:rowOff>
    </xdr:from>
    <xdr:to>
      <xdr:col>0</xdr:col>
      <xdr:colOff>1165413</xdr:colOff>
      <xdr:row>68</xdr:row>
      <xdr:rowOff>44824</xdr:rowOff>
    </xdr:to>
    <xdr:sp macro="" textlink="">
      <xdr:nvSpPr>
        <xdr:cNvPr id="5247" name="Flèche vers le bas 524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67</xdr:row>
      <xdr:rowOff>313765</xdr:rowOff>
    </xdr:from>
    <xdr:to>
      <xdr:col>0</xdr:col>
      <xdr:colOff>1165413</xdr:colOff>
      <xdr:row>68</xdr:row>
      <xdr:rowOff>44824</xdr:rowOff>
    </xdr:to>
    <xdr:sp macro="" textlink="">
      <xdr:nvSpPr>
        <xdr:cNvPr id="5248" name="Flèche vers le bas 524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67</xdr:row>
      <xdr:rowOff>313765</xdr:rowOff>
    </xdr:from>
    <xdr:to>
      <xdr:col>0</xdr:col>
      <xdr:colOff>1165413</xdr:colOff>
      <xdr:row>68</xdr:row>
      <xdr:rowOff>44824</xdr:rowOff>
    </xdr:to>
    <xdr:sp macro="" textlink="">
      <xdr:nvSpPr>
        <xdr:cNvPr id="5249" name="Flèche vers le bas 524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67</xdr:row>
      <xdr:rowOff>313765</xdr:rowOff>
    </xdr:from>
    <xdr:to>
      <xdr:col>0</xdr:col>
      <xdr:colOff>1165413</xdr:colOff>
      <xdr:row>68</xdr:row>
      <xdr:rowOff>44824</xdr:rowOff>
    </xdr:to>
    <xdr:sp macro="" textlink="">
      <xdr:nvSpPr>
        <xdr:cNvPr id="5250" name="Flèche vers le bas 524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67</xdr:row>
      <xdr:rowOff>313765</xdr:rowOff>
    </xdr:from>
    <xdr:to>
      <xdr:col>0</xdr:col>
      <xdr:colOff>1165413</xdr:colOff>
      <xdr:row>68</xdr:row>
      <xdr:rowOff>44824</xdr:rowOff>
    </xdr:to>
    <xdr:sp macro="" textlink="">
      <xdr:nvSpPr>
        <xdr:cNvPr id="5251" name="Flèche vers le bas 525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67</xdr:row>
      <xdr:rowOff>313765</xdr:rowOff>
    </xdr:from>
    <xdr:to>
      <xdr:col>0</xdr:col>
      <xdr:colOff>1165413</xdr:colOff>
      <xdr:row>68</xdr:row>
      <xdr:rowOff>44824</xdr:rowOff>
    </xdr:to>
    <xdr:sp macro="" textlink="">
      <xdr:nvSpPr>
        <xdr:cNvPr id="5252" name="Flèche vers le bas 525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68</xdr:row>
      <xdr:rowOff>313765</xdr:rowOff>
    </xdr:from>
    <xdr:to>
      <xdr:col>0</xdr:col>
      <xdr:colOff>1165413</xdr:colOff>
      <xdr:row>69</xdr:row>
      <xdr:rowOff>44824</xdr:rowOff>
    </xdr:to>
    <xdr:sp macro="" textlink="">
      <xdr:nvSpPr>
        <xdr:cNvPr id="5253" name="Flèche vers le bas 525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68</xdr:row>
      <xdr:rowOff>313765</xdr:rowOff>
    </xdr:from>
    <xdr:to>
      <xdr:col>0</xdr:col>
      <xdr:colOff>1165413</xdr:colOff>
      <xdr:row>69</xdr:row>
      <xdr:rowOff>44824</xdr:rowOff>
    </xdr:to>
    <xdr:sp macro="" textlink="">
      <xdr:nvSpPr>
        <xdr:cNvPr id="5254" name="Flèche vers le bas 525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68</xdr:row>
      <xdr:rowOff>313765</xdr:rowOff>
    </xdr:from>
    <xdr:to>
      <xdr:col>0</xdr:col>
      <xdr:colOff>1165413</xdr:colOff>
      <xdr:row>69</xdr:row>
      <xdr:rowOff>44824</xdr:rowOff>
    </xdr:to>
    <xdr:sp macro="" textlink="">
      <xdr:nvSpPr>
        <xdr:cNvPr id="5255" name="Flèche vers le bas 525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68</xdr:row>
      <xdr:rowOff>313765</xdr:rowOff>
    </xdr:from>
    <xdr:to>
      <xdr:col>0</xdr:col>
      <xdr:colOff>1165413</xdr:colOff>
      <xdr:row>69</xdr:row>
      <xdr:rowOff>44824</xdr:rowOff>
    </xdr:to>
    <xdr:sp macro="" textlink="">
      <xdr:nvSpPr>
        <xdr:cNvPr id="5256" name="Flèche vers le bas 525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68</xdr:row>
      <xdr:rowOff>313765</xdr:rowOff>
    </xdr:from>
    <xdr:to>
      <xdr:col>0</xdr:col>
      <xdr:colOff>1165413</xdr:colOff>
      <xdr:row>69</xdr:row>
      <xdr:rowOff>44824</xdr:rowOff>
    </xdr:to>
    <xdr:sp macro="" textlink="">
      <xdr:nvSpPr>
        <xdr:cNvPr id="5257" name="Flèche vers le bas 525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68</xdr:row>
      <xdr:rowOff>313765</xdr:rowOff>
    </xdr:from>
    <xdr:to>
      <xdr:col>0</xdr:col>
      <xdr:colOff>1165413</xdr:colOff>
      <xdr:row>69</xdr:row>
      <xdr:rowOff>44824</xdr:rowOff>
    </xdr:to>
    <xdr:sp macro="" textlink="">
      <xdr:nvSpPr>
        <xdr:cNvPr id="5258" name="Flèche vers le bas 525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68</xdr:row>
      <xdr:rowOff>313765</xdr:rowOff>
    </xdr:from>
    <xdr:to>
      <xdr:col>0</xdr:col>
      <xdr:colOff>1165413</xdr:colOff>
      <xdr:row>69</xdr:row>
      <xdr:rowOff>44824</xdr:rowOff>
    </xdr:to>
    <xdr:sp macro="" textlink="">
      <xdr:nvSpPr>
        <xdr:cNvPr id="5259" name="Flèche vers le bas 525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68</xdr:row>
      <xdr:rowOff>313765</xdr:rowOff>
    </xdr:from>
    <xdr:to>
      <xdr:col>0</xdr:col>
      <xdr:colOff>1165413</xdr:colOff>
      <xdr:row>69</xdr:row>
      <xdr:rowOff>44824</xdr:rowOff>
    </xdr:to>
    <xdr:sp macro="" textlink="">
      <xdr:nvSpPr>
        <xdr:cNvPr id="5260" name="Flèche vers le bas 525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68</xdr:row>
      <xdr:rowOff>313765</xdr:rowOff>
    </xdr:from>
    <xdr:to>
      <xdr:col>0</xdr:col>
      <xdr:colOff>1165413</xdr:colOff>
      <xdr:row>69</xdr:row>
      <xdr:rowOff>44824</xdr:rowOff>
    </xdr:to>
    <xdr:sp macro="" textlink="">
      <xdr:nvSpPr>
        <xdr:cNvPr id="5261" name="Flèche vers le bas 526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68</xdr:row>
      <xdr:rowOff>313765</xdr:rowOff>
    </xdr:from>
    <xdr:to>
      <xdr:col>0</xdr:col>
      <xdr:colOff>1165413</xdr:colOff>
      <xdr:row>69</xdr:row>
      <xdr:rowOff>44824</xdr:rowOff>
    </xdr:to>
    <xdr:sp macro="" textlink="">
      <xdr:nvSpPr>
        <xdr:cNvPr id="5262" name="Flèche vers le bas 526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69</xdr:row>
      <xdr:rowOff>313765</xdr:rowOff>
    </xdr:from>
    <xdr:to>
      <xdr:col>0</xdr:col>
      <xdr:colOff>1165413</xdr:colOff>
      <xdr:row>70</xdr:row>
      <xdr:rowOff>44824</xdr:rowOff>
    </xdr:to>
    <xdr:sp macro="" textlink="">
      <xdr:nvSpPr>
        <xdr:cNvPr id="5263" name="Flèche vers le bas 526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69</xdr:row>
      <xdr:rowOff>313765</xdr:rowOff>
    </xdr:from>
    <xdr:to>
      <xdr:col>0</xdr:col>
      <xdr:colOff>1165413</xdr:colOff>
      <xdr:row>70</xdr:row>
      <xdr:rowOff>44824</xdr:rowOff>
    </xdr:to>
    <xdr:sp macro="" textlink="">
      <xdr:nvSpPr>
        <xdr:cNvPr id="5264" name="Flèche vers le bas 526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69</xdr:row>
      <xdr:rowOff>313765</xdr:rowOff>
    </xdr:from>
    <xdr:to>
      <xdr:col>0</xdr:col>
      <xdr:colOff>1165413</xdr:colOff>
      <xdr:row>70</xdr:row>
      <xdr:rowOff>44824</xdr:rowOff>
    </xdr:to>
    <xdr:sp macro="" textlink="">
      <xdr:nvSpPr>
        <xdr:cNvPr id="5265" name="Flèche vers le bas 526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69</xdr:row>
      <xdr:rowOff>313765</xdr:rowOff>
    </xdr:from>
    <xdr:to>
      <xdr:col>0</xdr:col>
      <xdr:colOff>1165413</xdr:colOff>
      <xdr:row>70</xdr:row>
      <xdr:rowOff>44824</xdr:rowOff>
    </xdr:to>
    <xdr:sp macro="" textlink="">
      <xdr:nvSpPr>
        <xdr:cNvPr id="5266" name="Flèche vers le bas 526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69</xdr:row>
      <xdr:rowOff>313765</xdr:rowOff>
    </xdr:from>
    <xdr:to>
      <xdr:col>0</xdr:col>
      <xdr:colOff>1165413</xdr:colOff>
      <xdr:row>70</xdr:row>
      <xdr:rowOff>44824</xdr:rowOff>
    </xdr:to>
    <xdr:sp macro="" textlink="">
      <xdr:nvSpPr>
        <xdr:cNvPr id="5267" name="Flèche vers le bas 526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69</xdr:row>
      <xdr:rowOff>313765</xdr:rowOff>
    </xdr:from>
    <xdr:to>
      <xdr:col>0</xdr:col>
      <xdr:colOff>1165413</xdr:colOff>
      <xdr:row>70</xdr:row>
      <xdr:rowOff>44824</xdr:rowOff>
    </xdr:to>
    <xdr:sp macro="" textlink="">
      <xdr:nvSpPr>
        <xdr:cNvPr id="5268" name="Flèche vers le bas 526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69</xdr:row>
      <xdr:rowOff>313765</xdr:rowOff>
    </xdr:from>
    <xdr:to>
      <xdr:col>0</xdr:col>
      <xdr:colOff>1165413</xdr:colOff>
      <xdr:row>70</xdr:row>
      <xdr:rowOff>44824</xdr:rowOff>
    </xdr:to>
    <xdr:sp macro="" textlink="">
      <xdr:nvSpPr>
        <xdr:cNvPr id="5269" name="Flèche vers le bas 526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69</xdr:row>
      <xdr:rowOff>313765</xdr:rowOff>
    </xdr:from>
    <xdr:to>
      <xdr:col>0</xdr:col>
      <xdr:colOff>1165413</xdr:colOff>
      <xdr:row>70</xdr:row>
      <xdr:rowOff>44824</xdr:rowOff>
    </xdr:to>
    <xdr:sp macro="" textlink="">
      <xdr:nvSpPr>
        <xdr:cNvPr id="5270" name="Flèche vers le bas 526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69</xdr:row>
      <xdr:rowOff>313765</xdr:rowOff>
    </xdr:from>
    <xdr:to>
      <xdr:col>0</xdr:col>
      <xdr:colOff>1165413</xdr:colOff>
      <xdr:row>70</xdr:row>
      <xdr:rowOff>44824</xdr:rowOff>
    </xdr:to>
    <xdr:sp macro="" textlink="">
      <xdr:nvSpPr>
        <xdr:cNvPr id="5271" name="Flèche vers le bas 527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69</xdr:row>
      <xdr:rowOff>313765</xdr:rowOff>
    </xdr:from>
    <xdr:to>
      <xdr:col>0</xdr:col>
      <xdr:colOff>1165413</xdr:colOff>
      <xdr:row>70</xdr:row>
      <xdr:rowOff>44824</xdr:rowOff>
    </xdr:to>
    <xdr:sp macro="" textlink="">
      <xdr:nvSpPr>
        <xdr:cNvPr id="5272" name="Flèche vers le bas 527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70</xdr:row>
      <xdr:rowOff>313765</xdr:rowOff>
    </xdr:from>
    <xdr:to>
      <xdr:col>0</xdr:col>
      <xdr:colOff>1165413</xdr:colOff>
      <xdr:row>71</xdr:row>
      <xdr:rowOff>44824</xdr:rowOff>
    </xdr:to>
    <xdr:sp macro="" textlink="">
      <xdr:nvSpPr>
        <xdr:cNvPr id="5273" name="Flèche vers le bas 527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70</xdr:row>
      <xdr:rowOff>313765</xdr:rowOff>
    </xdr:from>
    <xdr:to>
      <xdr:col>0</xdr:col>
      <xdr:colOff>1165413</xdr:colOff>
      <xdr:row>71</xdr:row>
      <xdr:rowOff>44824</xdr:rowOff>
    </xdr:to>
    <xdr:sp macro="" textlink="">
      <xdr:nvSpPr>
        <xdr:cNvPr id="5274" name="Flèche vers le bas 527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70</xdr:row>
      <xdr:rowOff>313765</xdr:rowOff>
    </xdr:from>
    <xdr:to>
      <xdr:col>0</xdr:col>
      <xdr:colOff>1165413</xdr:colOff>
      <xdr:row>71</xdr:row>
      <xdr:rowOff>44824</xdr:rowOff>
    </xdr:to>
    <xdr:sp macro="" textlink="">
      <xdr:nvSpPr>
        <xdr:cNvPr id="5275" name="Flèche vers le bas 527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70</xdr:row>
      <xdr:rowOff>313765</xdr:rowOff>
    </xdr:from>
    <xdr:to>
      <xdr:col>0</xdr:col>
      <xdr:colOff>1165413</xdr:colOff>
      <xdr:row>71</xdr:row>
      <xdr:rowOff>44824</xdr:rowOff>
    </xdr:to>
    <xdr:sp macro="" textlink="">
      <xdr:nvSpPr>
        <xdr:cNvPr id="5276" name="Flèche vers le bas 527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70</xdr:row>
      <xdr:rowOff>313765</xdr:rowOff>
    </xdr:from>
    <xdr:to>
      <xdr:col>0</xdr:col>
      <xdr:colOff>1165413</xdr:colOff>
      <xdr:row>71</xdr:row>
      <xdr:rowOff>44824</xdr:rowOff>
    </xdr:to>
    <xdr:sp macro="" textlink="">
      <xdr:nvSpPr>
        <xdr:cNvPr id="5277" name="Flèche vers le bas 527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70</xdr:row>
      <xdr:rowOff>313765</xdr:rowOff>
    </xdr:from>
    <xdr:to>
      <xdr:col>0</xdr:col>
      <xdr:colOff>1165413</xdr:colOff>
      <xdr:row>71</xdr:row>
      <xdr:rowOff>44824</xdr:rowOff>
    </xdr:to>
    <xdr:sp macro="" textlink="">
      <xdr:nvSpPr>
        <xdr:cNvPr id="5278" name="Flèche vers le bas 527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70</xdr:row>
      <xdr:rowOff>313765</xdr:rowOff>
    </xdr:from>
    <xdr:to>
      <xdr:col>0</xdr:col>
      <xdr:colOff>1165413</xdr:colOff>
      <xdr:row>71</xdr:row>
      <xdr:rowOff>44824</xdr:rowOff>
    </xdr:to>
    <xdr:sp macro="" textlink="">
      <xdr:nvSpPr>
        <xdr:cNvPr id="5279" name="Flèche vers le bas 527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70</xdr:row>
      <xdr:rowOff>313765</xdr:rowOff>
    </xdr:from>
    <xdr:to>
      <xdr:col>0</xdr:col>
      <xdr:colOff>1165413</xdr:colOff>
      <xdr:row>71</xdr:row>
      <xdr:rowOff>44824</xdr:rowOff>
    </xdr:to>
    <xdr:sp macro="" textlink="">
      <xdr:nvSpPr>
        <xdr:cNvPr id="5280" name="Flèche vers le bas 527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70</xdr:row>
      <xdr:rowOff>313765</xdr:rowOff>
    </xdr:from>
    <xdr:to>
      <xdr:col>0</xdr:col>
      <xdr:colOff>1165413</xdr:colOff>
      <xdr:row>71</xdr:row>
      <xdr:rowOff>44824</xdr:rowOff>
    </xdr:to>
    <xdr:sp macro="" textlink="">
      <xdr:nvSpPr>
        <xdr:cNvPr id="5281" name="Flèche vers le bas 528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70</xdr:row>
      <xdr:rowOff>313765</xdr:rowOff>
    </xdr:from>
    <xdr:to>
      <xdr:col>0</xdr:col>
      <xdr:colOff>1165413</xdr:colOff>
      <xdr:row>71</xdr:row>
      <xdr:rowOff>44824</xdr:rowOff>
    </xdr:to>
    <xdr:sp macro="" textlink="">
      <xdr:nvSpPr>
        <xdr:cNvPr id="5282" name="Flèche vers le bas 528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71</xdr:row>
      <xdr:rowOff>313765</xdr:rowOff>
    </xdr:from>
    <xdr:to>
      <xdr:col>0</xdr:col>
      <xdr:colOff>1165413</xdr:colOff>
      <xdr:row>72</xdr:row>
      <xdr:rowOff>44824</xdr:rowOff>
    </xdr:to>
    <xdr:sp macro="" textlink="">
      <xdr:nvSpPr>
        <xdr:cNvPr id="5283" name="Flèche vers le bas 528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71</xdr:row>
      <xdr:rowOff>313765</xdr:rowOff>
    </xdr:from>
    <xdr:to>
      <xdr:col>0</xdr:col>
      <xdr:colOff>1165413</xdr:colOff>
      <xdr:row>72</xdr:row>
      <xdr:rowOff>44824</xdr:rowOff>
    </xdr:to>
    <xdr:sp macro="" textlink="">
      <xdr:nvSpPr>
        <xdr:cNvPr id="5284" name="Flèche vers le bas 528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71</xdr:row>
      <xdr:rowOff>313765</xdr:rowOff>
    </xdr:from>
    <xdr:to>
      <xdr:col>0</xdr:col>
      <xdr:colOff>1165413</xdr:colOff>
      <xdr:row>72</xdr:row>
      <xdr:rowOff>44824</xdr:rowOff>
    </xdr:to>
    <xdr:sp macro="" textlink="">
      <xdr:nvSpPr>
        <xdr:cNvPr id="5285" name="Flèche vers le bas 528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71</xdr:row>
      <xdr:rowOff>313765</xdr:rowOff>
    </xdr:from>
    <xdr:to>
      <xdr:col>0</xdr:col>
      <xdr:colOff>1165413</xdr:colOff>
      <xdr:row>72</xdr:row>
      <xdr:rowOff>44824</xdr:rowOff>
    </xdr:to>
    <xdr:sp macro="" textlink="">
      <xdr:nvSpPr>
        <xdr:cNvPr id="5286" name="Flèche vers le bas 528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71</xdr:row>
      <xdr:rowOff>313765</xdr:rowOff>
    </xdr:from>
    <xdr:to>
      <xdr:col>0</xdr:col>
      <xdr:colOff>1165413</xdr:colOff>
      <xdr:row>72</xdr:row>
      <xdr:rowOff>44824</xdr:rowOff>
    </xdr:to>
    <xdr:sp macro="" textlink="">
      <xdr:nvSpPr>
        <xdr:cNvPr id="5287" name="Flèche vers le bas 528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71</xdr:row>
      <xdr:rowOff>313765</xdr:rowOff>
    </xdr:from>
    <xdr:to>
      <xdr:col>0</xdr:col>
      <xdr:colOff>1165413</xdr:colOff>
      <xdr:row>72</xdr:row>
      <xdr:rowOff>44824</xdr:rowOff>
    </xdr:to>
    <xdr:sp macro="" textlink="">
      <xdr:nvSpPr>
        <xdr:cNvPr id="5288" name="Flèche vers le bas 528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71</xdr:row>
      <xdr:rowOff>313765</xdr:rowOff>
    </xdr:from>
    <xdr:to>
      <xdr:col>0</xdr:col>
      <xdr:colOff>1165413</xdr:colOff>
      <xdr:row>72</xdr:row>
      <xdr:rowOff>44824</xdr:rowOff>
    </xdr:to>
    <xdr:sp macro="" textlink="">
      <xdr:nvSpPr>
        <xdr:cNvPr id="5289" name="Flèche vers le bas 528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71</xdr:row>
      <xdr:rowOff>313765</xdr:rowOff>
    </xdr:from>
    <xdr:to>
      <xdr:col>0</xdr:col>
      <xdr:colOff>1165413</xdr:colOff>
      <xdr:row>72</xdr:row>
      <xdr:rowOff>44824</xdr:rowOff>
    </xdr:to>
    <xdr:sp macro="" textlink="">
      <xdr:nvSpPr>
        <xdr:cNvPr id="5290" name="Flèche vers le bas 528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71</xdr:row>
      <xdr:rowOff>313765</xdr:rowOff>
    </xdr:from>
    <xdr:to>
      <xdr:col>0</xdr:col>
      <xdr:colOff>1165413</xdr:colOff>
      <xdr:row>72</xdr:row>
      <xdr:rowOff>44824</xdr:rowOff>
    </xdr:to>
    <xdr:sp macro="" textlink="">
      <xdr:nvSpPr>
        <xdr:cNvPr id="5291" name="Flèche vers le bas 529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71</xdr:row>
      <xdr:rowOff>313765</xdr:rowOff>
    </xdr:from>
    <xdr:to>
      <xdr:col>0</xdr:col>
      <xdr:colOff>1165413</xdr:colOff>
      <xdr:row>72</xdr:row>
      <xdr:rowOff>44824</xdr:rowOff>
    </xdr:to>
    <xdr:sp macro="" textlink="">
      <xdr:nvSpPr>
        <xdr:cNvPr id="5292" name="Flèche vers le bas 529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72</xdr:row>
      <xdr:rowOff>313765</xdr:rowOff>
    </xdr:from>
    <xdr:to>
      <xdr:col>0</xdr:col>
      <xdr:colOff>1165413</xdr:colOff>
      <xdr:row>73</xdr:row>
      <xdr:rowOff>44824</xdr:rowOff>
    </xdr:to>
    <xdr:sp macro="" textlink="">
      <xdr:nvSpPr>
        <xdr:cNvPr id="5293" name="Flèche vers le bas 529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72</xdr:row>
      <xdr:rowOff>313765</xdr:rowOff>
    </xdr:from>
    <xdr:to>
      <xdr:col>0</xdr:col>
      <xdr:colOff>1165413</xdr:colOff>
      <xdr:row>73</xdr:row>
      <xdr:rowOff>44824</xdr:rowOff>
    </xdr:to>
    <xdr:sp macro="" textlink="">
      <xdr:nvSpPr>
        <xdr:cNvPr id="5294" name="Flèche vers le bas 529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72</xdr:row>
      <xdr:rowOff>313765</xdr:rowOff>
    </xdr:from>
    <xdr:to>
      <xdr:col>0</xdr:col>
      <xdr:colOff>1165413</xdr:colOff>
      <xdr:row>73</xdr:row>
      <xdr:rowOff>44824</xdr:rowOff>
    </xdr:to>
    <xdr:sp macro="" textlink="">
      <xdr:nvSpPr>
        <xdr:cNvPr id="5295" name="Flèche vers le bas 529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72</xdr:row>
      <xdr:rowOff>313765</xdr:rowOff>
    </xdr:from>
    <xdr:to>
      <xdr:col>0</xdr:col>
      <xdr:colOff>1165413</xdr:colOff>
      <xdr:row>73</xdr:row>
      <xdr:rowOff>44824</xdr:rowOff>
    </xdr:to>
    <xdr:sp macro="" textlink="">
      <xdr:nvSpPr>
        <xdr:cNvPr id="5296" name="Flèche vers le bas 529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72</xdr:row>
      <xdr:rowOff>313765</xdr:rowOff>
    </xdr:from>
    <xdr:to>
      <xdr:col>0</xdr:col>
      <xdr:colOff>1165413</xdr:colOff>
      <xdr:row>73</xdr:row>
      <xdr:rowOff>44824</xdr:rowOff>
    </xdr:to>
    <xdr:sp macro="" textlink="">
      <xdr:nvSpPr>
        <xdr:cNvPr id="5297" name="Flèche vers le bas 529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72</xdr:row>
      <xdr:rowOff>313765</xdr:rowOff>
    </xdr:from>
    <xdr:to>
      <xdr:col>0</xdr:col>
      <xdr:colOff>1165413</xdr:colOff>
      <xdr:row>73</xdr:row>
      <xdr:rowOff>44824</xdr:rowOff>
    </xdr:to>
    <xdr:sp macro="" textlink="">
      <xdr:nvSpPr>
        <xdr:cNvPr id="5298" name="Flèche vers le bas 529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72</xdr:row>
      <xdr:rowOff>313765</xdr:rowOff>
    </xdr:from>
    <xdr:to>
      <xdr:col>0</xdr:col>
      <xdr:colOff>1165413</xdr:colOff>
      <xdr:row>73</xdr:row>
      <xdr:rowOff>44824</xdr:rowOff>
    </xdr:to>
    <xdr:sp macro="" textlink="">
      <xdr:nvSpPr>
        <xdr:cNvPr id="5299" name="Flèche vers le bas 529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72</xdr:row>
      <xdr:rowOff>313765</xdr:rowOff>
    </xdr:from>
    <xdr:to>
      <xdr:col>0</xdr:col>
      <xdr:colOff>1165413</xdr:colOff>
      <xdr:row>73</xdr:row>
      <xdr:rowOff>44824</xdr:rowOff>
    </xdr:to>
    <xdr:sp macro="" textlink="">
      <xdr:nvSpPr>
        <xdr:cNvPr id="5300" name="Flèche vers le bas 529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72</xdr:row>
      <xdr:rowOff>313765</xdr:rowOff>
    </xdr:from>
    <xdr:to>
      <xdr:col>0</xdr:col>
      <xdr:colOff>1165413</xdr:colOff>
      <xdr:row>73</xdr:row>
      <xdr:rowOff>44824</xdr:rowOff>
    </xdr:to>
    <xdr:sp macro="" textlink="">
      <xdr:nvSpPr>
        <xdr:cNvPr id="5301" name="Flèche vers le bas 530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72</xdr:row>
      <xdr:rowOff>313765</xdr:rowOff>
    </xdr:from>
    <xdr:to>
      <xdr:col>0</xdr:col>
      <xdr:colOff>1165413</xdr:colOff>
      <xdr:row>73</xdr:row>
      <xdr:rowOff>44824</xdr:rowOff>
    </xdr:to>
    <xdr:sp macro="" textlink="">
      <xdr:nvSpPr>
        <xdr:cNvPr id="5302" name="Flèche vers le bas 530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73</xdr:row>
      <xdr:rowOff>313765</xdr:rowOff>
    </xdr:from>
    <xdr:to>
      <xdr:col>0</xdr:col>
      <xdr:colOff>1165413</xdr:colOff>
      <xdr:row>74</xdr:row>
      <xdr:rowOff>44824</xdr:rowOff>
    </xdr:to>
    <xdr:sp macro="" textlink="">
      <xdr:nvSpPr>
        <xdr:cNvPr id="5303" name="Flèche vers le bas 530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73</xdr:row>
      <xdr:rowOff>313765</xdr:rowOff>
    </xdr:from>
    <xdr:to>
      <xdr:col>0</xdr:col>
      <xdr:colOff>1165413</xdr:colOff>
      <xdr:row>74</xdr:row>
      <xdr:rowOff>44824</xdr:rowOff>
    </xdr:to>
    <xdr:sp macro="" textlink="">
      <xdr:nvSpPr>
        <xdr:cNvPr id="5304" name="Flèche vers le bas 530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73</xdr:row>
      <xdr:rowOff>313765</xdr:rowOff>
    </xdr:from>
    <xdr:to>
      <xdr:col>0</xdr:col>
      <xdr:colOff>1165413</xdr:colOff>
      <xdr:row>74</xdr:row>
      <xdr:rowOff>44824</xdr:rowOff>
    </xdr:to>
    <xdr:sp macro="" textlink="">
      <xdr:nvSpPr>
        <xdr:cNvPr id="5305" name="Flèche vers le bas 530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73</xdr:row>
      <xdr:rowOff>313765</xdr:rowOff>
    </xdr:from>
    <xdr:to>
      <xdr:col>0</xdr:col>
      <xdr:colOff>1165413</xdr:colOff>
      <xdr:row>74</xdr:row>
      <xdr:rowOff>44824</xdr:rowOff>
    </xdr:to>
    <xdr:sp macro="" textlink="">
      <xdr:nvSpPr>
        <xdr:cNvPr id="5306" name="Flèche vers le bas 530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73</xdr:row>
      <xdr:rowOff>313765</xdr:rowOff>
    </xdr:from>
    <xdr:to>
      <xdr:col>0</xdr:col>
      <xdr:colOff>1165413</xdr:colOff>
      <xdr:row>74</xdr:row>
      <xdr:rowOff>44824</xdr:rowOff>
    </xdr:to>
    <xdr:sp macro="" textlink="">
      <xdr:nvSpPr>
        <xdr:cNvPr id="5307" name="Flèche vers le bas 530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73</xdr:row>
      <xdr:rowOff>313765</xdr:rowOff>
    </xdr:from>
    <xdr:to>
      <xdr:col>0</xdr:col>
      <xdr:colOff>1165413</xdr:colOff>
      <xdr:row>74</xdr:row>
      <xdr:rowOff>44824</xdr:rowOff>
    </xdr:to>
    <xdr:sp macro="" textlink="">
      <xdr:nvSpPr>
        <xdr:cNvPr id="5308" name="Flèche vers le bas 530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73</xdr:row>
      <xdr:rowOff>313765</xdr:rowOff>
    </xdr:from>
    <xdr:to>
      <xdr:col>0</xdr:col>
      <xdr:colOff>1165413</xdr:colOff>
      <xdr:row>74</xdr:row>
      <xdr:rowOff>44824</xdr:rowOff>
    </xdr:to>
    <xdr:sp macro="" textlink="">
      <xdr:nvSpPr>
        <xdr:cNvPr id="5309" name="Flèche vers le bas 530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73</xdr:row>
      <xdr:rowOff>313765</xdr:rowOff>
    </xdr:from>
    <xdr:to>
      <xdr:col>0</xdr:col>
      <xdr:colOff>1165413</xdr:colOff>
      <xdr:row>74</xdr:row>
      <xdr:rowOff>44824</xdr:rowOff>
    </xdr:to>
    <xdr:sp macro="" textlink="">
      <xdr:nvSpPr>
        <xdr:cNvPr id="5310" name="Flèche vers le bas 530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73</xdr:row>
      <xdr:rowOff>313765</xdr:rowOff>
    </xdr:from>
    <xdr:to>
      <xdr:col>0</xdr:col>
      <xdr:colOff>1165413</xdr:colOff>
      <xdr:row>74</xdr:row>
      <xdr:rowOff>44824</xdr:rowOff>
    </xdr:to>
    <xdr:sp macro="" textlink="">
      <xdr:nvSpPr>
        <xdr:cNvPr id="5311" name="Flèche vers le bas 531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73</xdr:row>
      <xdr:rowOff>313765</xdr:rowOff>
    </xdr:from>
    <xdr:to>
      <xdr:col>0</xdr:col>
      <xdr:colOff>1165413</xdr:colOff>
      <xdr:row>74</xdr:row>
      <xdr:rowOff>44824</xdr:rowOff>
    </xdr:to>
    <xdr:sp macro="" textlink="">
      <xdr:nvSpPr>
        <xdr:cNvPr id="5312" name="Flèche vers le bas 531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74</xdr:row>
      <xdr:rowOff>313765</xdr:rowOff>
    </xdr:from>
    <xdr:to>
      <xdr:col>0</xdr:col>
      <xdr:colOff>1165413</xdr:colOff>
      <xdr:row>75</xdr:row>
      <xdr:rowOff>44824</xdr:rowOff>
    </xdr:to>
    <xdr:sp macro="" textlink="">
      <xdr:nvSpPr>
        <xdr:cNvPr id="5313" name="Flèche vers le bas 531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74</xdr:row>
      <xdr:rowOff>313765</xdr:rowOff>
    </xdr:from>
    <xdr:to>
      <xdr:col>0</xdr:col>
      <xdr:colOff>1165413</xdr:colOff>
      <xdr:row>75</xdr:row>
      <xdr:rowOff>44824</xdr:rowOff>
    </xdr:to>
    <xdr:sp macro="" textlink="">
      <xdr:nvSpPr>
        <xdr:cNvPr id="5314" name="Flèche vers le bas 531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74</xdr:row>
      <xdr:rowOff>313765</xdr:rowOff>
    </xdr:from>
    <xdr:to>
      <xdr:col>0</xdr:col>
      <xdr:colOff>1165413</xdr:colOff>
      <xdr:row>75</xdr:row>
      <xdr:rowOff>44824</xdr:rowOff>
    </xdr:to>
    <xdr:sp macro="" textlink="">
      <xdr:nvSpPr>
        <xdr:cNvPr id="5315" name="Flèche vers le bas 531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74</xdr:row>
      <xdr:rowOff>313765</xdr:rowOff>
    </xdr:from>
    <xdr:to>
      <xdr:col>0</xdr:col>
      <xdr:colOff>1165413</xdr:colOff>
      <xdr:row>75</xdr:row>
      <xdr:rowOff>44824</xdr:rowOff>
    </xdr:to>
    <xdr:sp macro="" textlink="">
      <xdr:nvSpPr>
        <xdr:cNvPr id="5316" name="Flèche vers le bas 531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74</xdr:row>
      <xdr:rowOff>313765</xdr:rowOff>
    </xdr:from>
    <xdr:to>
      <xdr:col>0</xdr:col>
      <xdr:colOff>1165413</xdr:colOff>
      <xdr:row>75</xdr:row>
      <xdr:rowOff>44824</xdr:rowOff>
    </xdr:to>
    <xdr:sp macro="" textlink="">
      <xdr:nvSpPr>
        <xdr:cNvPr id="5317" name="Flèche vers le bas 531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74</xdr:row>
      <xdr:rowOff>313765</xdr:rowOff>
    </xdr:from>
    <xdr:to>
      <xdr:col>0</xdr:col>
      <xdr:colOff>1165413</xdr:colOff>
      <xdr:row>75</xdr:row>
      <xdr:rowOff>44824</xdr:rowOff>
    </xdr:to>
    <xdr:sp macro="" textlink="">
      <xdr:nvSpPr>
        <xdr:cNvPr id="5318" name="Flèche vers le bas 531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74</xdr:row>
      <xdr:rowOff>313765</xdr:rowOff>
    </xdr:from>
    <xdr:to>
      <xdr:col>0</xdr:col>
      <xdr:colOff>1165413</xdr:colOff>
      <xdr:row>75</xdr:row>
      <xdr:rowOff>44824</xdr:rowOff>
    </xdr:to>
    <xdr:sp macro="" textlink="">
      <xdr:nvSpPr>
        <xdr:cNvPr id="5319" name="Flèche vers le bas 531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74</xdr:row>
      <xdr:rowOff>313765</xdr:rowOff>
    </xdr:from>
    <xdr:to>
      <xdr:col>0</xdr:col>
      <xdr:colOff>1165413</xdr:colOff>
      <xdr:row>75</xdr:row>
      <xdr:rowOff>44824</xdr:rowOff>
    </xdr:to>
    <xdr:sp macro="" textlink="">
      <xdr:nvSpPr>
        <xdr:cNvPr id="5320" name="Flèche vers le bas 531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74</xdr:row>
      <xdr:rowOff>313765</xdr:rowOff>
    </xdr:from>
    <xdr:to>
      <xdr:col>0</xdr:col>
      <xdr:colOff>1165413</xdr:colOff>
      <xdr:row>75</xdr:row>
      <xdr:rowOff>44824</xdr:rowOff>
    </xdr:to>
    <xdr:sp macro="" textlink="">
      <xdr:nvSpPr>
        <xdr:cNvPr id="5321" name="Flèche vers le bas 532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74</xdr:row>
      <xdr:rowOff>313765</xdr:rowOff>
    </xdr:from>
    <xdr:to>
      <xdr:col>0</xdr:col>
      <xdr:colOff>1165413</xdr:colOff>
      <xdr:row>75</xdr:row>
      <xdr:rowOff>44824</xdr:rowOff>
    </xdr:to>
    <xdr:sp macro="" textlink="">
      <xdr:nvSpPr>
        <xdr:cNvPr id="5322" name="Flèche vers le bas 532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75</xdr:row>
      <xdr:rowOff>313765</xdr:rowOff>
    </xdr:from>
    <xdr:to>
      <xdr:col>0</xdr:col>
      <xdr:colOff>1165413</xdr:colOff>
      <xdr:row>76</xdr:row>
      <xdr:rowOff>44824</xdr:rowOff>
    </xdr:to>
    <xdr:sp macro="" textlink="">
      <xdr:nvSpPr>
        <xdr:cNvPr id="5323" name="Flèche vers le bas 532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75</xdr:row>
      <xdr:rowOff>313765</xdr:rowOff>
    </xdr:from>
    <xdr:to>
      <xdr:col>0</xdr:col>
      <xdr:colOff>1165413</xdr:colOff>
      <xdr:row>76</xdr:row>
      <xdr:rowOff>44824</xdr:rowOff>
    </xdr:to>
    <xdr:sp macro="" textlink="">
      <xdr:nvSpPr>
        <xdr:cNvPr id="5324" name="Flèche vers le bas 532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75</xdr:row>
      <xdr:rowOff>313765</xdr:rowOff>
    </xdr:from>
    <xdr:to>
      <xdr:col>0</xdr:col>
      <xdr:colOff>1165413</xdr:colOff>
      <xdr:row>76</xdr:row>
      <xdr:rowOff>44824</xdr:rowOff>
    </xdr:to>
    <xdr:sp macro="" textlink="">
      <xdr:nvSpPr>
        <xdr:cNvPr id="5325" name="Flèche vers le bas 532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75</xdr:row>
      <xdr:rowOff>313765</xdr:rowOff>
    </xdr:from>
    <xdr:to>
      <xdr:col>0</xdr:col>
      <xdr:colOff>1165413</xdr:colOff>
      <xdr:row>76</xdr:row>
      <xdr:rowOff>44824</xdr:rowOff>
    </xdr:to>
    <xdr:sp macro="" textlink="">
      <xdr:nvSpPr>
        <xdr:cNvPr id="5326" name="Flèche vers le bas 532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75</xdr:row>
      <xdr:rowOff>313765</xdr:rowOff>
    </xdr:from>
    <xdr:to>
      <xdr:col>0</xdr:col>
      <xdr:colOff>1165413</xdr:colOff>
      <xdr:row>76</xdr:row>
      <xdr:rowOff>44824</xdr:rowOff>
    </xdr:to>
    <xdr:sp macro="" textlink="">
      <xdr:nvSpPr>
        <xdr:cNvPr id="5327" name="Flèche vers le bas 532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75</xdr:row>
      <xdr:rowOff>313765</xdr:rowOff>
    </xdr:from>
    <xdr:to>
      <xdr:col>0</xdr:col>
      <xdr:colOff>1165413</xdr:colOff>
      <xdr:row>76</xdr:row>
      <xdr:rowOff>44824</xdr:rowOff>
    </xdr:to>
    <xdr:sp macro="" textlink="">
      <xdr:nvSpPr>
        <xdr:cNvPr id="5328" name="Flèche vers le bas 532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75</xdr:row>
      <xdr:rowOff>313765</xdr:rowOff>
    </xdr:from>
    <xdr:to>
      <xdr:col>0</xdr:col>
      <xdr:colOff>1165413</xdr:colOff>
      <xdr:row>76</xdr:row>
      <xdr:rowOff>44824</xdr:rowOff>
    </xdr:to>
    <xdr:sp macro="" textlink="">
      <xdr:nvSpPr>
        <xdr:cNvPr id="5329" name="Flèche vers le bas 532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75</xdr:row>
      <xdr:rowOff>313765</xdr:rowOff>
    </xdr:from>
    <xdr:to>
      <xdr:col>0</xdr:col>
      <xdr:colOff>1165413</xdr:colOff>
      <xdr:row>76</xdr:row>
      <xdr:rowOff>44824</xdr:rowOff>
    </xdr:to>
    <xdr:sp macro="" textlink="">
      <xdr:nvSpPr>
        <xdr:cNvPr id="5330" name="Flèche vers le bas 532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75</xdr:row>
      <xdr:rowOff>313765</xdr:rowOff>
    </xdr:from>
    <xdr:to>
      <xdr:col>0</xdr:col>
      <xdr:colOff>1165413</xdr:colOff>
      <xdr:row>76</xdr:row>
      <xdr:rowOff>44824</xdr:rowOff>
    </xdr:to>
    <xdr:sp macro="" textlink="">
      <xdr:nvSpPr>
        <xdr:cNvPr id="5331" name="Flèche vers le bas 533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75</xdr:row>
      <xdr:rowOff>313765</xdr:rowOff>
    </xdr:from>
    <xdr:to>
      <xdr:col>0</xdr:col>
      <xdr:colOff>1165413</xdr:colOff>
      <xdr:row>76</xdr:row>
      <xdr:rowOff>44824</xdr:rowOff>
    </xdr:to>
    <xdr:sp macro="" textlink="">
      <xdr:nvSpPr>
        <xdr:cNvPr id="5332" name="Flèche vers le bas 533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76</xdr:row>
      <xdr:rowOff>313765</xdr:rowOff>
    </xdr:from>
    <xdr:to>
      <xdr:col>0</xdr:col>
      <xdr:colOff>1165413</xdr:colOff>
      <xdr:row>77</xdr:row>
      <xdr:rowOff>44824</xdr:rowOff>
    </xdr:to>
    <xdr:sp macro="" textlink="">
      <xdr:nvSpPr>
        <xdr:cNvPr id="5333" name="Flèche vers le bas 533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76</xdr:row>
      <xdr:rowOff>313765</xdr:rowOff>
    </xdr:from>
    <xdr:to>
      <xdr:col>0</xdr:col>
      <xdr:colOff>1165413</xdr:colOff>
      <xdr:row>77</xdr:row>
      <xdr:rowOff>44824</xdr:rowOff>
    </xdr:to>
    <xdr:sp macro="" textlink="">
      <xdr:nvSpPr>
        <xdr:cNvPr id="5334" name="Flèche vers le bas 533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76</xdr:row>
      <xdr:rowOff>313765</xdr:rowOff>
    </xdr:from>
    <xdr:to>
      <xdr:col>0</xdr:col>
      <xdr:colOff>1165413</xdr:colOff>
      <xdr:row>77</xdr:row>
      <xdr:rowOff>44824</xdr:rowOff>
    </xdr:to>
    <xdr:sp macro="" textlink="">
      <xdr:nvSpPr>
        <xdr:cNvPr id="5335" name="Flèche vers le bas 533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76</xdr:row>
      <xdr:rowOff>313765</xdr:rowOff>
    </xdr:from>
    <xdr:to>
      <xdr:col>0</xdr:col>
      <xdr:colOff>1165413</xdr:colOff>
      <xdr:row>77</xdr:row>
      <xdr:rowOff>44824</xdr:rowOff>
    </xdr:to>
    <xdr:sp macro="" textlink="">
      <xdr:nvSpPr>
        <xdr:cNvPr id="5336" name="Flèche vers le bas 533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76</xdr:row>
      <xdr:rowOff>313765</xdr:rowOff>
    </xdr:from>
    <xdr:to>
      <xdr:col>0</xdr:col>
      <xdr:colOff>1165413</xdr:colOff>
      <xdr:row>77</xdr:row>
      <xdr:rowOff>44824</xdr:rowOff>
    </xdr:to>
    <xdr:sp macro="" textlink="">
      <xdr:nvSpPr>
        <xdr:cNvPr id="5337" name="Flèche vers le bas 533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76</xdr:row>
      <xdr:rowOff>313765</xdr:rowOff>
    </xdr:from>
    <xdr:to>
      <xdr:col>0</xdr:col>
      <xdr:colOff>1165413</xdr:colOff>
      <xdr:row>77</xdr:row>
      <xdr:rowOff>44824</xdr:rowOff>
    </xdr:to>
    <xdr:sp macro="" textlink="">
      <xdr:nvSpPr>
        <xdr:cNvPr id="5338" name="Flèche vers le bas 533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76</xdr:row>
      <xdr:rowOff>313765</xdr:rowOff>
    </xdr:from>
    <xdr:to>
      <xdr:col>0</xdr:col>
      <xdr:colOff>1165413</xdr:colOff>
      <xdr:row>77</xdr:row>
      <xdr:rowOff>44824</xdr:rowOff>
    </xdr:to>
    <xdr:sp macro="" textlink="">
      <xdr:nvSpPr>
        <xdr:cNvPr id="5339" name="Flèche vers le bas 533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76</xdr:row>
      <xdr:rowOff>313765</xdr:rowOff>
    </xdr:from>
    <xdr:to>
      <xdr:col>0</xdr:col>
      <xdr:colOff>1165413</xdr:colOff>
      <xdr:row>77</xdr:row>
      <xdr:rowOff>44824</xdr:rowOff>
    </xdr:to>
    <xdr:sp macro="" textlink="">
      <xdr:nvSpPr>
        <xdr:cNvPr id="5340" name="Flèche vers le bas 533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76</xdr:row>
      <xdr:rowOff>313765</xdr:rowOff>
    </xdr:from>
    <xdr:to>
      <xdr:col>0</xdr:col>
      <xdr:colOff>1165413</xdr:colOff>
      <xdr:row>77</xdr:row>
      <xdr:rowOff>44824</xdr:rowOff>
    </xdr:to>
    <xdr:sp macro="" textlink="">
      <xdr:nvSpPr>
        <xdr:cNvPr id="5341" name="Flèche vers le bas 534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76</xdr:row>
      <xdr:rowOff>313765</xdr:rowOff>
    </xdr:from>
    <xdr:to>
      <xdr:col>0</xdr:col>
      <xdr:colOff>1165413</xdr:colOff>
      <xdr:row>77</xdr:row>
      <xdr:rowOff>44824</xdr:rowOff>
    </xdr:to>
    <xdr:sp macro="" textlink="">
      <xdr:nvSpPr>
        <xdr:cNvPr id="5342" name="Flèche vers le bas 534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77</xdr:row>
      <xdr:rowOff>313765</xdr:rowOff>
    </xdr:from>
    <xdr:to>
      <xdr:col>0</xdr:col>
      <xdr:colOff>1165413</xdr:colOff>
      <xdr:row>78</xdr:row>
      <xdr:rowOff>44824</xdr:rowOff>
    </xdr:to>
    <xdr:sp macro="" textlink="">
      <xdr:nvSpPr>
        <xdr:cNvPr id="5343" name="Flèche vers le bas 534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77</xdr:row>
      <xdr:rowOff>313765</xdr:rowOff>
    </xdr:from>
    <xdr:to>
      <xdr:col>0</xdr:col>
      <xdr:colOff>1165413</xdr:colOff>
      <xdr:row>78</xdr:row>
      <xdr:rowOff>44824</xdr:rowOff>
    </xdr:to>
    <xdr:sp macro="" textlink="">
      <xdr:nvSpPr>
        <xdr:cNvPr id="5344" name="Flèche vers le bas 534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77</xdr:row>
      <xdr:rowOff>313765</xdr:rowOff>
    </xdr:from>
    <xdr:to>
      <xdr:col>0</xdr:col>
      <xdr:colOff>1165413</xdr:colOff>
      <xdr:row>78</xdr:row>
      <xdr:rowOff>44824</xdr:rowOff>
    </xdr:to>
    <xdr:sp macro="" textlink="">
      <xdr:nvSpPr>
        <xdr:cNvPr id="5345" name="Flèche vers le bas 534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77</xdr:row>
      <xdr:rowOff>313765</xdr:rowOff>
    </xdr:from>
    <xdr:to>
      <xdr:col>0</xdr:col>
      <xdr:colOff>1165413</xdr:colOff>
      <xdr:row>78</xdr:row>
      <xdr:rowOff>44824</xdr:rowOff>
    </xdr:to>
    <xdr:sp macro="" textlink="">
      <xdr:nvSpPr>
        <xdr:cNvPr id="5346" name="Flèche vers le bas 534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77</xdr:row>
      <xdr:rowOff>313765</xdr:rowOff>
    </xdr:from>
    <xdr:to>
      <xdr:col>0</xdr:col>
      <xdr:colOff>1165413</xdr:colOff>
      <xdr:row>78</xdr:row>
      <xdr:rowOff>44824</xdr:rowOff>
    </xdr:to>
    <xdr:sp macro="" textlink="">
      <xdr:nvSpPr>
        <xdr:cNvPr id="5347" name="Flèche vers le bas 534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77</xdr:row>
      <xdr:rowOff>313765</xdr:rowOff>
    </xdr:from>
    <xdr:to>
      <xdr:col>0</xdr:col>
      <xdr:colOff>1165413</xdr:colOff>
      <xdr:row>78</xdr:row>
      <xdr:rowOff>44824</xdr:rowOff>
    </xdr:to>
    <xdr:sp macro="" textlink="">
      <xdr:nvSpPr>
        <xdr:cNvPr id="5348" name="Flèche vers le bas 534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77</xdr:row>
      <xdr:rowOff>313765</xdr:rowOff>
    </xdr:from>
    <xdr:to>
      <xdr:col>0</xdr:col>
      <xdr:colOff>1165413</xdr:colOff>
      <xdr:row>78</xdr:row>
      <xdr:rowOff>44824</xdr:rowOff>
    </xdr:to>
    <xdr:sp macro="" textlink="">
      <xdr:nvSpPr>
        <xdr:cNvPr id="5349" name="Flèche vers le bas 534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77</xdr:row>
      <xdr:rowOff>313765</xdr:rowOff>
    </xdr:from>
    <xdr:to>
      <xdr:col>0</xdr:col>
      <xdr:colOff>1165413</xdr:colOff>
      <xdr:row>78</xdr:row>
      <xdr:rowOff>44824</xdr:rowOff>
    </xdr:to>
    <xdr:sp macro="" textlink="">
      <xdr:nvSpPr>
        <xdr:cNvPr id="5350" name="Flèche vers le bas 534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77</xdr:row>
      <xdr:rowOff>313765</xdr:rowOff>
    </xdr:from>
    <xdr:to>
      <xdr:col>0</xdr:col>
      <xdr:colOff>1165413</xdr:colOff>
      <xdr:row>78</xdr:row>
      <xdr:rowOff>44824</xdr:rowOff>
    </xdr:to>
    <xdr:sp macro="" textlink="">
      <xdr:nvSpPr>
        <xdr:cNvPr id="5351" name="Flèche vers le bas 535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77</xdr:row>
      <xdr:rowOff>313765</xdr:rowOff>
    </xdr:from>
    <xdr:to>
      <xdr:col>0</xdr:col>
      <xdr:colOff>1165413</xdr:colOff>
      <xdr:row>78</xdr:row>
      <xdr:rowOff>44824</xdr:rowOff>
    </xdr:to>
    <xdr:sp macro="" textlink="">
      <xdr:nvSpPr>
        <xdr:cNvPr id="5352" name="Flèche vers le bas 535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78</xdr:row>
      <xdr:rowOff>313765</xdr:rowOff>
    </xdr:from>
    <xdr:to>
      <xdr:col>0</xdr:col>
      <xdr:colOff>1165413</xdr:colOff>
      <xdr:row>79</xdr:row>
      <xdr:rowOff>44824</xdr:rowOff>
    </xdr:to>
    <xdr:sp macro="" textlink="">
      <xdr:nvSpPr>
        <xdr:cNvPr id="5353" name="Flèche vers le bas 535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78</xdr:row>
      <xdr:rowOff>313765</xdr:rowOff>
    </xdr:from>
    <xdr:to>
      <xdr:col>0</xdr:col>
      <xdr:colOff>1165413</xdr:colOff>
      <xdr:row>79</xdr:row>
      <xdr:rowOff>44824</xdr:rowOff>
    </xdr:to>
    <xdr:sp macro="" textlink="">
      <xdr:nvSpPr>
        <xdr:cNvPr id="5354" name="Flèche vers le bas 535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78</xdr:row>
      <xdr:rowOff>313765</xdr:rowOff>
    </xdr:from>
    <xdr:to>
      <xdr:col>0</xdr:col>
      <xdr:colOff>1165413</xdr:colOff>
      <xdr:row>79</xdr:row>
      <xdr:rowOff>44824</xdr:rowOff>
    </xdr:to>
    <xdr:sp macro="" textlink="">
      <xdr:nvSpPr>
        <xdr:cNvPr id="5355" name="Flèche vers le bas 535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78</xdr:row>
      <xdr:rowOff>313765</xdr:rowOff>
    </xdr:from>
    <xdr:to>
      <xdr:col>0</xdr:col>
      <xdr:colOff>1165413</xdr:colOff>
      <xdr:row>79</xdr:row>
      <xdr:rowOff>44824</xdr:rowOff>
    </xdr:to>
    <xdr:sp macro="" textlink="">
      <xdr:nvSpPr>
        <xdr:cNvPr id="5356" name="Flèche vers le bas 535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78</xdr:row>
      <xdr:rowOff>313765</xdr:rowOff>
    </xdr:from>
    <xdr:to>
      <xdr:col>0</xdr:col>
      <xdr:colOff>1165413</xdr:colOff>
      <xdr:row>79</xdr:row>
      <xdr:rowOff>44824</xdr:rowOff>
    </xdr:to>
    <xdr:sp macro="" textlink="">
      <xdr:nvSpPr>
        <xdr:cNvPr id="5357" name="Flèche vers le bas 535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78</xdr:row>
      <xdr:rowOff>313765</xdr:rowOff>
    </xdr:from>
    <xdr:to>
      <xdr:col>0</xdr:col>
      <xdr:colOff>1165413</xdr:colOff>
      <xdr:row>79</xdr:row>
      <xdr:rowOff>44824</xdr:rowOff>
    </xdr:to>
    <xdr:sp macro="" textlink="">
      <xdr:nvSpPr>
        <xdr:cNvPr id="5358" name="Flèche vers le bas 535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78</xdr:row>
      <xdr:rowOff>313765</xdr:rowOff>
    </xdr:from>
    <xdr:to>
      <xdr:col>0</xdr:col>
      <xdr:colOff>1165413</xdr:colOff>
      <xdr:row>79</xdr:row>
      <xdr:rowOff>44824</xdr:rowOff>
    </xdr:to>
    <xdr:sp macro="" textlink="">
      <xdr:nvSpPr>
        <xdr:cNvPr id="5359" name="Flèche vers le bas 535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78</xdr:row>
      <xdr:rowOff>313765</xdr:rowOff>
    </xdr:from>
    <xdr:to>
      <xdr:col>0</xdr:col>
      <xdr:colOff>1165413</xdr:colOff>
      <xdr:row>79</xdr:row>
      <xdr:rowOff>44824</xdr:rowOff>
    </xdr:to>
    <xdr:sp macro="" textlink="">
      <xdr:nvSpPr>
        <xdr:cNvPr id="5360" name="Flèche vers le bas 535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78</xdr:row>
      <xdr:rowOff>313765</xdr:rowOff>
    </xdr:from>
    <xdr:to>
      <xdr:col>0</xdr:col>
      <xdr:colOff>1165413</xdr:colOff>
      <xdr:row>79</xdr:row>
      <xdr:rowOff>44824</xdr:rowOff>
    </xdr:to>
    <xdr:sp macro="" textlink="">
      <xdr:nvSpPr>
        <xdr:cNvPr id="5361" name="Flèche vers le bas 536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78</xdr:row>
      <xdr:rowOff>313765</xdr:rowOff>
    </xdr:from>
    <xdr:to>
      <xdr:col>0</xdr:col>
      <xdr:colOff>1165413</xdr:colOff>
      <xdr:row>79</xdr:row>
      <xdr:rowOff>44824</xdr:rowOff>
    </xdr:to>
    <xdr:sp macro="" textlink="">
      <xdr:nvSpPr>
        <xdr:cNvPr id="5362" name="Flèche vers le bas 536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79</xdr:row>
      <xdr:rowOff>313765</xdr:rowOff>
    </xdr:from>
    <xdr:to>
      <xdr:col>0</xdr:col>
      <xdr:colOff>1165413</xdr:colOff>
      <xdr:row>80</xdr:row>
      <xdr:rowOff>44824</xdr:rowOff>
    </xdr:to>
    <xdr:sp macro="" textlink="">
      <xdr:nvSpPr>
        <xdr:cNvPr id="5363" name="Flèche vers le bas 536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79</xdr:row>
      <xdr:rowOff>313765</xdr:rowOff>
    </xdr:from>
    <xdr:to>
      <xdr:col>0</xdr:col>
      <xdr:colOff>1165413</xdr:colOff>
      <xdr:row>80</xdr:row>
      <xdr:rowOff>44824</xdr:rowOff>
    </xdr:to>
    <xdr:sp macro="" textlink="">
      <xdr:nvSpPr>
        <xdr:cNvPr id="5364" name="Flèche vers le bas 536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79</xdr:row>
      <xdr:rowOff>313765</xdr:rowOff>
    </xdr:from>
    <xdr:to>
      <xdr:col>0</xdr:col>
      <xdr:colOff>1165413</xdr:colOff>
      <xdr:row>80</xdr:row>
      <xdr:rowOff>44824</xdr:rowOff>
    </xdr:to>
    <xdr:sp macro="" textlink="">
      <xdr:nvSpPr>
        <xdr:cNvPr id="5365" name="Flèche vers le bas 536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79</xdr:row>
      <xdr:rowOff>313765</xdr:rowOff>
    </xdr:from>
    <xdr:to>
      <xdr:col>0</xdr:col>
      <xdr:colOff>1165413</xdr:colOff>
      <xdr:row>80</xdr:row>
      <xdr:rowOff>44824</xdr:rowOff>
    </xdr:to>
    <xdr:sp macro="" textlink="">
      <xdr:nvSpPr>
        <xdr:cNvPr id="5366" name="Flèche vers le bas 536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79</xdr:row>
      <xdr:rowOff>313765</xdr:rowOff>
    </xdr:from>
    <xdr:to>
      <xdr:col>0</xdr:col>
      <xdr:colOff>1165413</xdr:colOff>
      <xdr:row>80</xdr:row>
      <xdr:rowOff>44824</xdr:rowOff>
    </xdr:to>
    <xdr:sp macro="" textlink="">
      <xdr:nvSpPr>
        <xdr:cNvPr id="5367" name="Flèche vers le bas 536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79</xdr:row>
      <xdr:rowOff>313765</xdr:rowOff>
    </xdr:from>
    <xdr:to>
      <xdr:col>0</xdr:col>
      <xdr:colOff>1165413</xdr:colOff>
      <xdr:row>80</xdr:row>
      <xdr:rowOff>44824</xdr:rowOff>
    </xdr:to>
    <xdr:sp macro="" textlink="">
      <xdr:nvSpPr>
        <xdr:cNvPr id="5368" name="Flèche vers le bas 536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79</xdr:row>
      <xdr:rowOff>313765</xdr:rowOff>
    </xdr:from>
    <xdr:to>
      <xdr:col>0</xdr:col>
      <xdr:colOff>1165413</xdr:colOff>
      <xdr:row>80</xdr:row>
      <xdr:rowOff>44824</xdr:rowOff>
    </xdr:to>
    <xdr:sp macro="" textlink="">
      <xdr:nvSpPr>
        <xdr:cNvPr id="5369" name="Flèche vers le bas 536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79</xdr:row>
      <xdr:rowOff>313765</xdr:rowOff>
    </xdr:from>
    <xdr:to>
      <xdr:col>0</xdr:col>
      <xdr:colOff>1165413</xdr:colOff>
      <xdr:row>80</xdr:row>
      <xdr:rowOff>44824</xdr:rowOff>
    </xdr:to>
    <xdr:sp macro="" textlink="">
      <xdr:nvSpPr>
        <xdr:cNvPr id="5370" name="Flèche vers le bas 536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79</xdr:row>
      <xdr:rowOff>313765</xdr:rowOff>
    </xdr:from>
    <xdr:to>
      <xdr:col>0</xdr:col>
      <xdr:colOff>1165413</xdr:colOff>
      <xdr:row>80</xdr:row>
      <xdr:rowOff>44824</xdr:rowOff>
    </xdr:to>
    <xdr:sp macro="" textlink="">
      <xdr:nvSpPr>
        <xdr:cNvPr id="5371" name="Flèche vers le bas 537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79</xdr:row>
      <xdr:rowOff>313765</xdr:rowOff>
    </xdr:from>
    <xdr:to>
      <xdr:col>0</xdr:col>
      <xdr:colOff>1165413</xdr:colOff>
      <xdr:row>80</xdr:row>
      <xdr:rowOff>44824</xdr:rowOff>
    </xdr:to>
    <xdr:sp macro="" textlink="">
      <xdr:nvSpPr>
        <xdr:cNvPr id="5372" name="Flèche vers le bas 537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80</xdr:row>
      <xdr:rowOff>313765</xdr:rowOff>
    </xdr:from>
    <xdr:to>
      <xdr:col>0</xdr:col>
      <xdr:colOff>1165413</xdr:colOff>
      <xdr:row>81</xdr:row>
      <xdr:rowOff>44824</xdr:rowOff>
    </xdr:to>
    <xdr:sp macro="" textlink="">
      <xdr:nvSpPr>
        <xdr:cNvPr id="5373" name="Flèche vers le bas 537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80</xdr:row>
      <xdr:rowOff>313765</xdr:rowOff>
    </xdr:from>
    <xdr:to>
      <xdr:col>0</xdr:col>
      <xdr:colOff>1165413</xdr:colOff>
      <xdr:row>81</xdr:row>
      <xdr:rowOff>44824</xdr:rowOff>
    </xdr:to>
    <xdr:sp macro="" textlink="">
      <xdr:nvSpPr>
        <xdr:cNvPr id="5374" name="Flèche vers le bas 537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80</xdr:row>
      <xdr:rowOff>313765</xdr:rowOff>
    </xdr:from>
    <xdr:to>
      <xdr:col>0</xdr:col>
      <xdr:colOff>1165413</xdr:colOff>
      <xdr:row>81</xdr:row>
      <xdr:rowOff>44824</xdr:rowOff>
    </xdr:to>
    <xdr:sp macro="" textlink="">
      <xdr:nvSpPr>
        <xdr:cNvPr id="5375" name="Flèche vers le bas 537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80</xdr:row>
      <xdr:rowOff>313765</xdr:rowOff>
    </xdr:from>
    <xdr:to>
      <xdr:col>0</xdr:col>
      <xdr:colOff>1165413</xdr:colOff>
      <xdr:row>81</xdr:row>
      <xdr:rowOff>44824</xdr:rowOff>
    </xdr:to>
    <xdr:sp macro="" textlink="">
      <xdr:nvSpPr>
        <xdr:cNvPr id="5376" name="Flèche vers le bas 537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80</xdr:row>
      <xdr:rowOff>313765</xdr:rowOff>
    </xdr:from>
    <xdr:to>
      <xdr:col>0</xdr:col>
      <xdr:colOff>1165413</xdr:colOff>
      <xdr:row>81</xdr:row>
      <xdr:rowOff>44824</xdr:rowOff>
    </xdr:to>
    <xdr:sp macro="" textlink="">
      <xdr:nvSpPr>
        <xdr:cNvPr id="5377" name="Flèche vers le bas 537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80</xdr:row>
      <xdr:rowOff>313765</xdr:rowOff>
    </xdr:from>
    <xdr:to>
      <xdr:col>0</xdr:col>
      <xdr:colOff>1165413</xdr:colOff>
      <xdr:row>81</xdr:row>
      <xdr:rowOff>44824</xdr:rowOff>
    </xdr:to>
    <xdr:sp macro="" textlink="">
      <xdr:nvSpPr>
        <xdr:cNvPr id="5378" name="Flèche vers le bas 537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80</xdr:row>
      <xdr:rowOff>313765</xdr:rowOff>
    </xdr:from>
    <xdr:to>
      <xdr:col>0</xdr:col>
      <xdr:colOff>1165413</xdr:colOff>
      <xdr:row>81</xdr:row>
      <xdr:rowOff>44824</xdr:rowOff>
    </xdr:to>
    <xdr:sp macro="" textlink="">
      <xdr:nvSpPr>
        <xdr:cNvPr id="5379" name="Flèche vers le bas 537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80</xdr:row>
      <xdr:rowOff>313765</xdr:rowOff>
    </xdr:from>
    <xdr:to>
      <xdr:col>0</xdr:col>
      <xdr:colOff>1165413</xdr:colOff>
      <xdr:row>81</xdr:row>
      <xdr:rowOff>44824</xdr:rowOff>
    </xdr:to>
    <xdr:sp macro="" textlink="">
      <xdr:nvSpPr>
        <xdr:cNvPr id="5380" name="Flèche vers le bas 537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80</xdr:row>
      <xdr:rowOff>313765</xdr:rowOff>
    </xdr:from>
    <xdr:to>
      <xdr:col>0</xdr:col>
      <xdr:colOff>1165413</xdr:colOff>
      <xdr:row>81</xdr:row>
      <xdr:rowOff>44824</xdr:rowOff>
    </xdr:to>
    <xdr:sp macro="" textlink="">
      <xdr:nvSpPr>
        <xdr:cNvPr id="5381" name="Flèche vers le bas 538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80</xdr:row>
      <xdr:rowOff>313765</xdr:rowOff>
    </xdr:from>
    <xdr:to>
      <xdr:col>0</xdr:col>
      <xdr:colOff>1165413</xdr:colOff>
      <xdr:row>81</xdr:row>
      <xdr:rowOff>44824</xdr:rowOff>
    </xdr:to>
    <xdr:sp macro="" textlink="">
      <xdr:nvSpPr>
        <xdr:cNvPr id="5382" name="Flèche vers le bas 538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81</xdr:row>
      <xdr:rowOff>313765</xdr:rowOff>
    </xdr:from>
    <xdr:to>
      <xdr:col>0</xdr:col>
      <xdr:colOff>1165413</xdr:colOff>
      <xdr:row>82</xdr:row>
      <xdr:rowOff>44824</xdr:rowOff>
    </xdr:to>
    <xdr:sp macro="" textlink="">
      <xdr:nvSpPr>
        <xdr:cNvPr id="5383" name="Flèche vers le bas 538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81</xdr:row>
      <xdr:rowOff>313765</xdr:rowOff>
    </xdr:from>
    <xdr:to>
      <xdr:col>0</xdr:col>
      <xdr:colOff>1165413</xdr:colOff>
      <xdr:row>82</xdr:row>
      <xdr:rowOff>44824</xdr:rowOff>
    </xdr:to>
    <xdr:sp macro="" textlink="">
      <xdr:nvSpPr>
        <xdr:cNvPr id="5384" name="Flèche vers le bas 538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81</xdr:row>
      <xdr:rowOff>313765</xdr:rowOff>
    </xdr:from>
    <xdr:to>
      <xdr:col>0</xdr:col>
      <xdr:colOff>1165413</xdr:colOff>
      <xdr:row>82</xdr:row>
      <xdr:rowOff>44824</xdr:rowOff>
    </xdr:to>
    <xdr:sp macro="" textlink="">
      <xdr:nvSpPr>
        <xdr:cNvPr id="5385" name="Flèche vers le bas 538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81</xdr:row>
      <xdr:rowOff>313765</xdr:rowOff>
    </xdr:from>
    <xdr:to>
      <xdr:col>0</xdr:col>
      <xdr:colOff>1165413</xdr:colOff>
      <xdr:row>82</xdr:row>
      <xdr:rowOff>44824</xdr:rowOff>
    </xdr:to>
    <xdr:sp macro="" textlink="">
      <xdr:nvSpPr>
        <xdr:cNvPr id="5386" name="Flèche vers le bas 538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81</xdr:row>
      <xdr:rowOff>313765</xdr:rowOff>
    </xdr:from>
    <xdr:to>
      <xdr:col>0</xdr:col>
      <xdr:colOff>1165413</xdr:colOff>
      <xdr:row>82</xdr:row>
      <xdr:rowOff>44824</xdr:rowOff>
    </xdr:to>
    <xdr:sp macro="" textlink="">
      <xdr:nvSpPr>
        <xdr:cNvPr id="5387" name="Flèche vers le bas 538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81</xdr:row>
      <xdr:rowOff>313765</xdr:rowOff>
    </xdr:from>
    <xdr:to>
      <xdr:col>0</xdr:col>
      <xdr:colOff>1165413</xdr:colOff>
      <xdr:row>82</xdr:row>
      <xdr:rowOff>44824</xdr:rowOff>
    </xdr:to>
    <xdr:sp macro="" textlink="">
      <xdr:nvSpPr>
        <xdr:cNvPr id="5388" name="Flèche vers le bas 538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81</xdr:row>
      <xdr:rowOff>313765</xdr:rowOff>
    </xdr:from>
    <xdr:to>
      <xdr:col>0</xdr:col>
      <xdr:colOff>1165413</xdr:colOff>
      <xdr:row>82</xdr:row>
      <xdr:rowOff>44824</xdr:rowOff>
    </xdr:to>
    <xdr:sp macro="" textlink="">
      <xdr:nvSpPr>
        <xdr:cNvPr id="5389" name="Flèche vers le bas 538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81</xdr:row>
      <xdr:rowOff>313765</xdr:rowOff>
    </xdr:from>
    <xdr:to>
      <xdr:col>0</xdr:col>
      <xdr:colOff>1165413</xdr:colOff>
      <xdr:row>82</xdr:row>
      <xdr:rowOff>44824</xdr:rowOff>
    </xdr:to>
    <xdr:sp macro="" textlink="">
      <xdr:nvSpPr>
        <xdr:cNvPr id="5390" name="Flèche vers le bas 538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81</xdr:row>
      <xdr:rowOff>313765</xdr:rowOff>
    </xdr:from>
    <xdr:to>
      <xdr:col>0</xdr:col>
      <xdr:colOff>1165413</xdr:colOff>
      <xdr:row>82</xdr:row>
      <xdr:rowOff>44824</xdr:rowOff>
    </xdr:to>
    <xdr:sp macro="" textlink="">
      <xdr:nvSpPr>
        <xdr:cNvPr id="5391" name="Flèche vers le bas 539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81</xdr:row>
      <xdr:rowOff>313765</xdr:rowOff>
    </xdr:from>
    <xdr:to>
      <xdr:col>0</xdr:col>
      <xdr:colOff>1165413</xdr:colOff>
      <xdr:row>82</xdr:row>
      <xdr:rowOff>44824</xdr:rowOff>
    </xdr:to>
    <xdr:sp macro="" textlink="">
      <xdr:nvSpPr>
        <xdr:cNvPr id="5392" name="Flèche vers le bas 539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82</xdr:row>
      <xdr:rowOff>313765</xdr:rowOff>
    </xdr:from>
    <xdr:to>
      <xdr:col>0</xdr:col>
      <xdr:colOff>1165413</xdr:colOff>
      <xdr:row>83</xdr:row>
      <xdr:rowOff>44824</xdr:rowOff>
    </xdr:to>
    <xdr:sp macro="" textlink="">
      <xdr:nvSpPr>
        <xdr:cNvPr id="5393" name="Flèche vers le bas 539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82</xdr:row>
      <xdr:rowOff>313765</xdr:rowOff>
    </xdr:from>
    <xdr:to>
      <xdr:col>0</xdr:col>
      <xdr:colOff>1165413</xdr:colOff>
      <xdr:row>83</xdr:row>
      <xdr:rowOff>44824</xdr:rowOff>
    </xdr:to>
    <xdr:sp macro="" textlink="">
      <xdr:nvSpPr>
        <xdr:cNvPr id="5394" name="Flèche vers le bas 539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82</xdr:row>
      <xdr:rowOff>313765</xdr:rowOff>
    </xdr:from>
    <xdr:to>
      <xdr:col>0</xdr:col>
      <xdr:colOff>1165413</xdr:colOff>
      <xdr:row>83</xdr:row>
      <xdr:rowOff>44824</xdr:rowOff>
    </xdr:to>
    <xdr:sp macro="" textlink="">
      <xdr:nvSpPr>
        <xdr:cNvPr id="5395" name="Flèche vers le bas 539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82</xdr:row>
      <xdr:rowOff>313765</xdr:rowOff>
    </xdr:from>
    <xdr:to>
      <xdr:col>0</xdr:col>
      <xdr:colOff>1165413</xdr:colOff>
      <xdr:row>83</xdr:row>
      <xdr:rowOff>44824</xdr:rowOff>
    </xdr:to>
    <xdr:sp macro="" textlink="">
      <xdr:nvSpPr>
        <xdr:cNvPr id="5396" name="Flèche vers le bas 539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82</xdr:row>
      <xdr:rowOff>313765</xdr:rowOff>
    </xdr:from>
    <xdr:to>
      <xdr:col>0</xdr:col>
      <xdr:colOff>1165413</xdr:colOff>
      <xdr:row>83</xdr:row>
      <xdr:rowOff>44824</xdr:rowOff>
    </xdr:to>
    <xdr:sp macro="" textlink="">
      <xdr:nvSpPr>
        <xdr:cNvPr id="5397" name="Flèche vers le bas 539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82</xdr:row>
      <xdr:rowOff>313765</xdr:rowOff>
    </xdr:from>
    <xdr:to>
      <xdr:col>0</xdr:col>
      <xdr:colOff>1165413</xdr:colOff>
      <xdr:row>83</xdr:row>
      <xdr:rowOff>44824</xdr:rowOff>
    </xdr:to>
    <xdr:sp macro="" textlink="">
      <xdr:nvSpPr>
        <xdr:cNvPr id="5398" name="Flèche vers le bas 539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82</xdr:row>
      <xdr:rowOff>313765</xdr:rowOff>
    </xdr:from>
    <xdr:to>
      <xdr:col>0</xdr:col>
      <xdr:colOff>1165413</xdr:colOff>
      <xdr:row>83</xdr:row>
      <xdr:rowOff>44824</xdr:rowOff>
    </xdr:to>
    <xdr:sp macro="" textlink="">
      <xdr:nvSpPr>
        <xdr:cNvPr id="5399" name="Flèche vers le bas 539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82</xdr:row>
      <xdr:rowOff>313765</xdr:rowOff>
    </xdr:from>
    <xdr:to>
      <xdr:col>0</xdr:col>
      <xdr:colOff>1165413</xdr:colOff>
      <xdr:row>83</xdr:row>
      <xdr:rowOff>44824</xdr:rowOff>
    </xdr:to>
    <xdr:sp macro="" textlink="">
      <xdr:nvSpPr>
        <xdr:cNvPr id="5400" name="Flèche vers le bas 539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82</xdr:row>
      <xdr:rowOff>313765</xdr:rowOff>
    </xdr:from>
    <xdr:to>
      <xdr:col>0</xdr:col>
      <xdr:colOff>1165413</xdr:colOff>
      <xdr:row>83</xdr:row>
      <xdr:rowOff>44824</xdr:rowOff>
    </xdr:to>
    <xdr:sp macro="" textlink="">
      <xdr:nvSpPr>
        <xdr:cNvPr id="5401" name="Flèche vers le bas 540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82</xdr:row>
      <xdr:rowOff>313765</xdr:rowOff>
    </xdr:from>
    <xdr:to>
      <xdr:col>0</xdr:col>
      <xdr:colOff>1165413</xdr:colOff>
      <xdr:row>83</xdr:row>
      <xdr:rowOff>44824</xdr:rowOff>
    </xdr:to>
    <xdr:sp macro="" textlink="">
      <xdr:nvSpPr>
        <xdr:cNvPr id="5402" name="Flèche vers le bas 540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83</xdr:row>
      <xdr:rowOff>313765</xdr:rowOff>
    </xdr:from>
    <xdr:to>
      <xdr:col>0</xdr:col>
      <xdr:colOff>1165413</xdr:colOff>
      <xdr:row>84</xdr:row>
      <xdr:rowOff>44824</xdr:rowOff>
    </xdr:to>
    <xdr:sp macro="" textlink="">
      <xdr:nvSpPr>
        <xdr:cNvPr id="5403" name="Flèche vers le bas 540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83</xdr:row>
      <xdr:rowOff>313765</xdr:rowOff>
    </xdr:from>
    <xdr:to>
      <xdr:col>0</xdr:col>
      <xdr:colOff>1165413</xdr:colOff>
      <xdr:row>84</xdr:row>
      <xdr:rowOff>44824</xdr:rowOff>
    </xdr:to>
    <xdr:sp macro="" textlink="">
      <xdr:nvSpPr>
        <xdr:cNvPr id="5404" name="Flèche vers le bas 540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83</xdr:row>
      <xdr:rowOff>313765</xdr:rowOff>
    </xdr:from>
    <xdr:to>
      <xdr:col>0</xdr:col>
      <xdr:colOff>1165413</xdr:colOff>
      <xdr:row>84</xdr:row>
      <xdr:rowOff>44824</xdr:rowOff>
    </xdr:to>
    <xdr:sp macro="" textlink="">
      <xdr:nvSpPr>
        <xdr:cNvPr id="5405" name="Flèche vers le bas 540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83</xdr:row>
      <xdr:rowOff>313765</xdr:rowOff>
    </xdr:from>
    <xdr:to>
      <xdr:col>0</xdr:col>
      <xdr:colOff>1165413</xdr:colOff>
      <xdr:row>84</xdr:row>
      <xdr:rowOff>44824</xdr:rowOff>
    </xdr:to>
    <xdr:sp macro="" textlink="">
      <xdr:nvSpPr>
        <xdr:cNvPr id="5406" name="Flèche vers le bas 540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83</xdr:row>
      <xdr:rowOff>313765</xdr:rowOff>
    </xdr:from>
    <xdr:to>
      <xdr:col>0</xdr:col>
      <xdr:colOff>1165413</xdr:colOff>
      <xdr:row>84</xdr:row>
      <xdr:rowOff>44824</xdr:rowOff>
    </xdr:to>
    <xdr:sp macro="" textlink="">
      <xdr:nvSpPr>
        <xdr:cNvPr id="5407" name="Flèche vers le bas 540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83</xdr:row>
      <xdr:rowOff>313765</xdr:rowOff>
    </xdr:from>
    <xdr:to>
      <xdr:col>0</xdr:col>
      <xdr:colOff>1165413</xdr:colOff>
      <xdr:row>84</xdr:row>
      <xdr:rowOff>44824</xdr:rowOff>
    </xdr:to>
    <xdr:sp macro="" textlink="">
      <xdr:nvSpPr>
        <xdr:cNvPr id="5408" name="Flèche vers le bas 540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83</xdr:row>
      <xdr:rowOff>313765</xdr:rowOff>
    </xdr:from>
    <xdr:to>
      <xdr:col>0</xdr:col>
      <xdr:colOff>1165413</xdr:colOff>
      <xdr:row>84</xdr:row>
      <xdr:rowOff>44824</xdr:rowOff>
    </xdr:to>
    <xdr:sp macro="" textlink="">
      <xdr:nvSpPr>
        <xdr:cNvPr id="5409" name="Flèche vers le bas 540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83</xdr:row>
      <xdr:rowOff>313765</xdr:rowOff>
    </xdr:from>
    <xdr:to>
      <xdr:col>0</xdr:col>
      <xdr:colOff>1165413</xdr:colOff>
      <xdr:row>84</xdr:row>
      <xdr:rowOff>44824</xdr:rowOff>
    </xdr:to>
    <xdr:sp macro="" textlink="">
      <xdr:nvSpPr>
        <xdr:cNvPr id="5410" name="Flèche vers le bas 540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83</xdr:row>
      <xdr:rowOff>313765</xdr:rowOff>
    </xdr:from>
    <xdr:to>
      <xdr:col>0</xdr:col>
      <xdr:colOff>1165413</xdr:colOff>
      <xdr:row>84</xdr:row>
      <xdr:rowOff>44824</xdr:rowOff>
    </xdr:to>
    <xdr:sp macro="" textlink="">
      <xdr:nvSpPr>
        <xdr:cNvPr id="5411" name="Flèche vers le bas 541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83</xdr:row>
      <xdr:rowOff>313765</xdr:rowOff>
    </xdr:from>
    <xdr:to>
      <xdr:col>0</xdr:col>
      <xdr:colOff>1165413</xdr:colOff>
      <xdr:row>84</xdr:row>
      <xdr:rowOff>44824</xdr:rowOff>
    </xdr:to>
    <xdr:sp macro="" textlink="">
      <xdr:nvSpPr>
        <xdr:cNvPr id="5412" name="Flèche vers le bas 541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84</xdr:row>
      <xdr:rowOff>313765</xdr:rowOff>
    </xdr:from>
    <xdr:to>
      <xdr:col>0</xdr:col>
      <xdr:colOff>1165413</xdr:colOff>
      <xdr:row>85</xdr:row>
      <xdr:rowOff>44824</xdr:rowOff>
    </xdr:to>
    <xdr:sp macro="" textlink="">
      <xdr:nvSpPr>
        <xdr:cNvPr id="5413" name="Flèche vers le bas 541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84</xdr:row>
      <xdr:rowOff>313765</xdr:rowOff>
    </xdr:from>
    <xdr:to>
      <xdr:col>0</xdr:col>
      <xdr:colOff>1165413</xdr:colOff>
      <xdr:row>85</xdr:row>
      <xdr:rowOff>44824</xdr:rowOff>
    </xdr:to>
    <xdr:sp macro="" textlink="">
      <xdr:nvSpPr>
        <xdr:cNvPr id="5414" name="Flèche vers le bas 541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84</xdr:row>
      <xdr:rowOff>313765</xdr:rowOff>
    </xdr:from>
    <xdr:to>
      <xdr:col>0</xdr:col>
      <xdr:colOff>1165413</xdr:colOff>
      <xdr:row>85</xdr:row>
      <xdr:rowOff>44824</xdr:rowOff>
    </xdr:to>
    <xdr:sp macro="" textlink="">
      <xdr:nvSpPr>
        <xdr:cNvPr id="5415" name="Flèche vers le bas 541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84</xdr:row>
      <xdr:rowOff>313765</xdr:rowOff>
    </xdr:from>
    <xdr:to>
      <xdr:col>0</xdr:col>
      <xdr:colOff>1165413</xdr:colOff>
      <xdr:row>85</xdr:row>
      <xdr:rowOff>44824</xdr:rowOff>
    </xdr:to>
    <xdr:sp macro="" textlink="">
      <xdr:nvSpPr>
        <xdr:cNvPr id="5416" name="Flèche vers le bas 541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84</xdr:row>
      <xdr:rowOff>313765</xdr:rowOff>
    </xdr:from>
    <xdr:to>
      <xdr:col>0</xdr:col>
      <xdr:colOff>1165413</xdr:colOff>
      <xdr:row>85</xdr:row>
      <xdr:rowOff>44824</xdr:rowOff>
    </xdr:to>
    <xdr:sp macro="" textlink="">
      <xdr:nvSpPr>
        <xdr:cNvPr id="5417" name="Flèche vers le bas 541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84</xdr:row>
      <xdr:rowOff>313765</xdr:rowOff>
    </xdr:from>
    <xdr:to>
      <xdr:col>0</xdr:col>
      <xdr:colOff>1165413</xdr:colOff>
      <xdr:row>85</xdr:row>
      <xdr:rowOff>44824</xdr:rowOff>
    </xdr:to>
    <xdr:sp macro="" textlink="">
      <xdr:nvSpPr>
        <xdr:cNvPr id="5418" name="Flèche vers le bas 541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84</xdr:row>
      <xdr:rowOff>313765</xdr:rowOff>
    </xdr:from>
    <xdr:to>
      <xdr:col>0</xdr:col>
      <xdr:colOff>1165413</xdr:colOff>
      <xdr:row>85</xdr:row>
      <xdr:rowOff>44824</xdr:rowOff>
    </xdr:to>
    <xdr:sp macro="" textlink="">
      <xdr:nvSpPr>
        <xdr:cNvPr id="5419" name="Flèche vers le bas 541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84</xdr:row>
      <xdr:rowOff>313765</xdr:rowOff>
    </xdr:from>
    <xdr:to>
      <xdr:col>0</xdr:col>
      <xdr:colOff>1165413</xdr:colOff>
      <xdr:row>85</xdr:row>
      <xdr:rowOff>44824</xdr:rowOff>
    </xdr:to>
    <xdr:sp macro="" textlink="">
      <xdr:nvSpPr>
        <xdr:cNvPr id="5420" name="Flèche vers le bas 541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84</xdr:row>
      <xdr:rowOff>313765</xdr:rowOff>
    </xdr:from>
    <xdr:to>
      <xdr:col>0</xdr:col>
      <xdr:colOff>1165413</xdr:colOff>
      <xdr:row>85</xdr:row>
      <xdr:rowOff>44824</xdr:rowOff>
    </xdr:to>
    <xdr:sp macro="" textlink="">
      <xdr:nvSpPr>
        <xdr:cNvPr id="5421" name="Flèche vers le bas 542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84</xdr:row>
      <xdr:rowOff>313765</xdr:rowOff>
    </xdr:from>
    <xdr:to>
      <xdr:col>0</xdr:col>
      <xdr:colOff>1165413</xdr:colOff>
      <xdr:row>85</xdr:row>
      <xdr:rowOff>44824</xdr:rowOff>
    </xdr:to>
    <xdr:sp macro="" textlink="">
      <xdr:nvSpPr>
        <xdr:cNvPr id="5422" name="Flèche vers le bas 542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85</xdr:row>
      <xdr:rowOff>313765</xdr:rowOff>
    </xdr:from>
    <xdr:to>
      <xdr:col>0</xdr:col>
      <xdr:colOff>1165413</xdr:colOff>
      <xdr:row>86</xdr:row>
      <xdr:rowOff>44824</xdr:rowOff>
    </xdr:to>
    <xdr:sp macro="" textlink="">
      <xdr:nvSpPr>
        <xdr:cNvPr id="5423" name="Flèche vers le bas 542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85</xdr:row>
      <xdr:rowOff>313765</xdr:rowOff>
    </xdr:from>
    <xdr:to>
      <xdr:col>0</xdr:col>
      <xdr:colOff>1165413</xdr:colOff>
      <xdr:row>86</xdr:row>
      <xdr:rowOff>44824</xdr:rowOff>
    </xdr:to>
    <xdr:sp macro="" textlink="">
      <xdr:nvSpPr>
        <xdr:cNvPr id="5424" name="Flèche vers le bas 542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85</xdr:row>
      <xdr:rowOff>313765</xdr:rowOff>
    </xdr:from>
    <xdr:to>
      <xdr:col>0</xdr:col>
      <xdr:colOff>1165413</xdr:colOff>
      <xdr:row>86</xdr:row>
      <xdr:rowOff>44824</xdr:rowOff>
    </xdr:to>
    <xdr:sp macro="" textlink="">
      <xdr:nvSpPr>
        <xdr:cNvPr id="5425" name="Flèche vers le bas 542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85</xdr:row>
      <xdr:rowOff>313765</xdr:rowOff>
    </xdr:from>
    <xdr:to>
      <xdr:col>0</xdr:col>
      <xdr:colOff>1165413</xdr:colOff>
      <xdr:row>86</xdr:row>
      <xdr:rowOff>44824</xdr:rowOff>
    </xdr:to>
    <xdr:sp macro="" textlink="">
      <xdr:nvSpPr>
        <xdr:cNvPr id="5426" name="Flèche vers le bas 542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85</xdr:row>
      <xdr:rowOff>313765</xdr:rowOff>
    </xdr:from>
    <xdr:to>
      <xdr:col>0</xdr:col>
      <xdr:colOff>1165413</xdr:colOff>
      <xdr:row>86</xdr:row>
      <xdr:rowOff>44824</xdr:rowOff>
    </xdr:to>
    <xdr:sp macro="" textlink="">
      <xdr:nvSpPr>
        <xdr:cNvPr id="5427" name="Flèche vers le bas 542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85</xdr:row>
      <xdr:rowOff>313765</xdr:rowOff>
    </xdr:from>
    <xdr:to>
      <xdr:col>0</xdr:col>
      <xdr:colOff>1165413</xdr:colOff>
      <xdr:row>86</xdr:row>
      <xdr:rowOff>44824</xdr:rowOff>
    </xdr:to>
    <xdr:sp macro="" textlink="">
      <xdr:nvSpPr>
        <xdr:cNvPr id="5428" name="Flèche vers le bas 542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85</xdr:row>
      <xdr:rowOff>313765</xdr:rowOff>
    </xdr:from>
    <xdr:to>
      <xdr:col>0</xdr:col>
      <xdr:colOff>1165413</xdr:colOff>
      <xdr:row>86</xdr:row>
      <xdr:rowOff>44824</xdr:rowOff>
    </xdr:to>
    <xdr:sp macro="" textlink="">
      <xdr:nvSpPr>
        <xdr:cNvPr id="5429" name="Flèche vers le bas 542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85</xdr:row>
      <xdr:rowOff>313765</xdr:rowOff>
    </xdr:from>
    <xdr:to>
      <xdr:col>0</xdr:col>
      <xdr:colOff>1165413</xdr:colOff>
      <xdr:row>86</xdr:row>
      <xdr:rowOff>44824</xdr:rowOff>
    </xdr:to>
    <xdr:sp macro="" textlink="">
      <xdr:nvSpPr>
        <xdr:cNvPr id="5430" name="Flèche vers le bas 542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85</xdr:row>
      <xdr:rowOff>313765</xdr:rowOff>
    </xdr:from>
    <xdr:to>
      <xdr:col>0</xdr:col>
      <xdr:colOff>1165413</xdr:colOff>
      <xdr:row>86</xdr:row>
      <xdr:rowOff>44824</xdr:rowOff>
    </xdr:to>
    <xdr:sp macro="" textlink="">
      <xdr:nvSpPr>
        <xdr:cNvPr id="5431" name="Flèche vers le bas 543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85</xdr:row>
      <xdr:rowOff>313765</xdr:rowOff>
    </xdr:from>
    <xdr:to>
      <xdr:col>0</xdr:col>
      <xdr:colOff>1165413</xdr:colOff>
      <xdr:row>86</xdr:row>
      <xdr:rowOff>44824</xdr:rowOff>
    </xdr:to>
    <xdr:sp macro="" textlink="">
      <xdr:nvSpPr>
        <xdr:cNvPr id="5432" name="Flèche vers le bas 543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86</xdr:row>
      <xdr:rowOff>313765</xdr:rowOff>
    </xdr:from>
    <xdr:to>
      <xdr:col>0</xdr:col>
      <xdr:colOff>1165413</xdr:colOff>
      <xdr:row>87</xdr:row>
      <xdr:rowOff>44824</xdr:rowOff>
    </xdr:to>
    <xdr:sp macro="" textlink="">
      <xdr:nvSpPr>
        <xdr:cNvPr id="5433" name="Flèche vers le bas 543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86</xdr:row>
      <xdr:rowOff>313765</xdr:rowOff>
    </xdr:from>
    <xdr:to>
      <xdr:col>0</xdr:col>
      <xdr:colOff>1165413</xdr:colOff>
      <xdr:row>87</xdr:row>
      <xdr:rowOff>44824</xdr:rowOff>
    </xdr:to>
    <xdr:sp macro="" textlink="">
      <xdr:nvSpPr>
        <xdr:cNvPr id="5434" name="Flèche vers le bas 543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86</xdr:row>
      <xdr:rowOff>313765</xdr:rowOff>
    </xdr:from>
    <xdr:to>
      <xdr:col>0</xdr:col>
      <xdr:colOff>1165413</xdr:colOff>
      <xdr:row>87</xdr:row>
      <xdr:rowOff>44824</xdr:rowOff>
    </xdr:to>
    <xdr:sp macro="" textlink="">
      <xdr:nvSpPr>
        <xdr:cNvPr id="5435" name="Flèche vers le bas 543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86</xdr:row>
      <xdr:rowOff>313765</xdr:rowOff>
    </xdr:from>
    <xdr:to>
      <xdr:col>0</xdr:col>
      <xdr:colOff>1165413</xdr:colOff>
      <xdr:row>87</xdr:row>
      <xdr:rowOff>44824</xdr:rowOff>
    </xdr:to>
    <xdr:sp macro="" textlink="">
      <xdr:nvSpPr>
        <xdr:cNvPr id="5436" name="Flèche vers le bas 543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86</xdr:row>
      <xdr:rowOff>313765</xdr:rowOff>
    </xdr:from>
    <xdr:to>
      <xdr:col>0</xdr:col>
      <xdr:colOff>1165413</xdr:colOff>
      <xdr:row>87</xdr:row>
      <xdr:rowOff>44824</xdr:rowOff>
    </xdr:to>
    <xdr:sp macro="" textlink="">
      <xdr:nvSpPr>
        <xdr:cNvPr id="5437" name="Flèche vers le bas 543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86</xdr:row>
      <xdr:rowOff>313765</xdr:rowOff>
    </xdr:from>
    <xdr:to>
      <xdr:col>0</xdr:col>
      <xdr:colOff>1165413</xdr:colOff>
      <xdr:row>87</xdr:row>
      <xdr:rowOff>44824</xdr:rowOff>
    </xdr:to>
    <xdr:sp macro="" textlink="">
      <xdr:nvSpPr>
        <xdr:cNvPr id="5438" name="Flèche vers le bas 543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86</xdr:row>
      <xdr:rowOff>313765</xdr:rowOff>
    </xdr:from>
    <xdr:to>
      <xdr:col>0</xdr:col>
      <xdr:colOff>1165413</xdr:colOff>
      <xdr:row>87</xdr:row>
      <xdr:rowOff>44824</xdr:rowOff>
    </xdr:to>
    <xdr:sp macro="" textlink="">
      <xdr:nvSpPr>
        <xdr:cNvPr id="5439" name="Flèche vers le bas 543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86</xdr:row>
      <xdr:rowOff>313765</xdr:rowOff>
    </xdr:from>
    <xdr:to>
      <xdr:col>0</xdr:col>
      <xdr:colOff>1165413</xdr:colOff>
      <xdr:row>87</xdr:row>
      <xdr:rowOff>44824</xdr:rowOff>
    </xdr:to>
    <xdr:sp macro="" textlink="">
      <xdr:nvSpPr>
        <xdr:cNvPr id="5440" name="Flèche vers le bas 543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86</xdr:row>
      <xdr:rowOff>313765</xdr:rowOff>
    </xdr:from>
    <xdr:to>
      <xdr:col>0</xdr:col>
      <xdr:colOff>1165413</xdr:colOff>
      <xdr:row>87</xdr:row>
      <xdr:rowOff>44824</xdr:rowOff>
    </xdr:to>
    <xdr:sp macro="" textlink="">
      <xdr:nvSpPr>
        <xdr:cNvPr id="5441" name="Flèche vers le bas 544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86</xdr:row>
      <xdr:rowOff>313765</xdr:rowOff>
    </xdr:from>
    <xdr:to>
      <xdr:col>0</xdr:col>
      <xdr:colOff>1165413</xdr:colOff>
      <xdr:row>87</xdr:row>
      <xdr:rowOff>44824</xdr:rowOff>
    </xdr:to>
    <xdr:sp macro="" textlink="">
      <xdr:nvSpPr>
        <xdr:cNvPr id="5442" name="Flèche vers le bas 544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5443" name="Flèche vers le bas 544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5444" name="Flèche vers le bas 544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5445" name="Flèche vers le bas 544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5446" name="Flèche vers le bas 544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5447" name="Flèche vers le bas 544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5448" name="Flèche vers le bas 544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5449" name="Flèche vers le bas 544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5450" name="Flèche vers le bas 544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5451" name="Flèche vers le bas 545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87</xdr:row>
      <xdr:rowOff>313765</xdr:rowOff>
    </xdr:from>
    <xdr:to>
      <xdr:col>0</xdr:col>
      <xdr:colOff>1165413</xdr:colOff>
      <xdr:row>88</xdr:row>
      <xdr:rowOff>44824</xdr:rowOff>
    </xdr:to>
    <xdr:sp macro="" textlink="">
      <xdr:nvSpPr>
        <xdr:cNvPr id="5452" name="Flèche vers le bas 545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5453" name="Flèche vers le bas 545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5454" name="Flèche vers le bas 545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5455" name="Flèche vers le bas 545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5456" name="Flèche vers le bas 545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5457" name="Flèche vers le bas 545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5458" name="Flèche vers le bas 545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5459" name="Flèche vers le bas 545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5460" name="Flèche vers le bas 545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5461" name="Flèche vers le bas 546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88</xdr:row>
      <xdr:rowOff>313765</xdr:rowOff>
    </xdr:from>
    <xdr:to>
      <xdr:col>0</xdr:col>
      <xdr:colOff>1165413</xdr:colOff>
      <xdr:row>89</xdr:row>
      <xdr:rowOff>44824</xdr:rowOff>
    </xdr:to>
    <xdr:sp macro="" textlink="">
      <xdr:nvSpPr>
        <xdr:cNvPr id="5462" name="Flèche vers le bas 546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5463" name="Flèche vers le bas 546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5464" name="Flèche vers le bas 546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5465" name="Flèche vers le bas 546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5466" name="Flèche vers le bas 546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5467" name="Flèche vers le bas 546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5468" name="Flèche vers le bas 546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5469" name="Flèche vers le bas 546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5470" name="Flèche vers le bas 546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5471" name="Flèche vers le bas 547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89</xdr:row>
      <xdr:rowOff>313765</xdr:rowOff>
    </xdr:from>
    <xdr:to>
      <xdr:col>0</xdr:col>
      <xdr:colOff>1165413</xdr:colOff>
      <xdr:row>90</xdr:row>
      <xdr:rowOff>44824</xdr:rowOff>
    </xdr:to>
    <xdr:sp macro="" textlink="">
      <xdr:nvSpPr>
        <xdr:cNvPr id="5472" name="Flèche vers le bas 547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5473" name="Flèche vers le bas 547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5474" name="Flèche vers le bas 547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5475" name="Flèche vers le bas 547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5476" name="Flèche vers le bas 547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5477" name="Flèche vers le bas 547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5478" name="Flèche vers le bas 547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5479" name="Flèche vers le bas 547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5480" name="Flèche vers le bas 547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5481" name="Flèche vers le bas 548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90</xdr:row>
      <xdr:rowOff>313765</xdr:rowOff>
    </xdr:from>
    <xdr:to>
      <xdr:col>0</xdr:col>
      <xdr:colOff>1165413</xdr:colOff>
      <xdr:row>91</xdr:row>
      <xdr:rowOff>44824</xdr:rowOff>
    </xdr:to>
    <xdr:sp macro="" textlink="">
      <xdr:nvSpPr>
        <xdr:cNvPr id="5482" name="Flèche vers le bas 548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5483" name="Flèche vers le bas 548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5484" name="Flèche vers le bas 548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5485" name="Flèche vers le bas 548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5486" name="Flèche vers le bas 548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5487" name="Flèche vers le bas 548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5488" name="Flèche vers le bas 548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5489" name="Flèche vers le bas 548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5490" name="Flèche vers le bas 548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5491" name="Flèche vers le bas 549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91</xdr:row>
      <xdr:rowOff>313765</xdr:rowOff>
    </xdr:from>
    <xdr:to>
      <xdr:col>0</xdr:col>
      <xdr:colOff>1165413</xdr:colOff>
      <xdr:row>92</xdr:row>
      <xdr:rowOff>44824</xdr:rowOff>
    </xdr:to>
    <xdr:sp macro="" textlink="">
      <xdr:nvSpPr>
        <xdr:cNvPr id="5492" name="Flèche vers le bas 549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5493" name="Flèche vers le bas 549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5494" name="Flèche vers le bas 549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5495" name="Flèche vers le bas 549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5496" name="Flèche vers le bas 549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5497" name="Flèche vers le bas 549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5498" name="Flèche vers le bas 549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5499" name="Flèche vers le bas 549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5500" name="Flèche vers le bas 549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5501" name="Flèche vers le bas 550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92</xdr:row>
      <xdr:rowOff>313765</xdr:rowOff>
    </xdr:from>
    <xdr:to>
      <xdr:col>0</xdr:col>
      <xdr:colOff>1165413</xdr:colOff>
      <xdr:row>93</xdr:row>
      <xdr:rowOff>44824</xdr:rowOff>
    </xdr:to>
    <xdr:sp macro="" textlink="">
      <xdr:nvSpPr>
        <xdr:cNvPr id="5502" name="Flèche vers le bas 550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5503" name="Flèche vers le bas 550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5504" name="Flèche vers le bas 550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5505" name="Flèche vers le bas 550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5506" name="Flèche vers le bas 550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5507" name="Flèche vers le bas 550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5508" name="Flèche vers le bas 550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5509" name="Flèche vers le bas 550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5510" name="Flèche vers le bas 550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5511" name="Flèche vers le bas 551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93</xdr:row>
      <xdr:rowOff>313765</xdr:rowOff>
    </xdr:from>
    <xdr:to>
      <xdr:col>0</xdr:col>
      <xdr:colOff>1165413</xdr:colOff>
      <xdr:row>94</xdr:row>
      <xdr:rowOff>44824</xdr:rowOff>
    </xdr:to>
    <xdr:sp macro="" textlink="">
      <xdr:nvSpPr>
        <xdr:cNvPr id="5512" name="Flèche vers le bas 551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5513" name="Flèche vers le bas 551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5514" name="Flèche vers le bas 551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5515" name="Flèche vers le bas 551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5516" name="Flèche vers le bas 551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5517" name="Flèche vers le bas 551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5518" name="Flèche vers le bas 551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5519" name="Flèche vers le bas 551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5520" name="Flèche vers le bas 551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5521" name="Flèche vers le bas 552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94</xdr:row>
      <xdr:rowOff>313765</xdr:rowOff>
    </xdr:from>
    <xdr:to>
      <xdr:col>0</xdr:col>
      <xdr:colOff>1165413</xdr:colOff>
      <xdr:row>95</xdr:row>
      <xdr:rowOff>44824</xdr:rowOff>
    </xdr:to>
    <xdr:sp macro="" textlink="">
      <xdr:nvSpPr>
        <xdr:cNvPr id="5522" name="Flèche vers le bas 552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5523" name="Flèche vers le bas 552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5524" name="Flèche vers le bas 552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5525" name="Flèche vers le bas 552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5526" name="Flèche vers le bas 552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5527" name="Flèche vers le bas 552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5528" name="Flèche vers le bas 552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5529" name="Flèche vers le bas 552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5530" name="Flèche vers le bas 552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5531" name="Flèche vers le bas 553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95</xdr:row>
      <xdr:rowOff>313765</xdr:rowOff>
    </xdr:from>
    <xdr:to>
      <xdr:col>0</xdr:col>
      <xdr:colOff>1165413</xdr:colOff>
      <xdr:row>96</xdr:row>
      <xdr:rowOff>44824</xdr:rowOff>
    </xdr:to>
    <xdr:sp macro="" textlink="">
      <xdr:nvSpPr>
        <xdr:cNvPr id="5532" name="Flèche vers le bas 553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5533" name="Flèche vers le bas 553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5534" name="Flèche vers le bas 553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5535" name="Flèche vers le bas 553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5536" name="Flèche vers le bas 553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5537" name="Flèche vers le bas 553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5538" name="Flèche vers le bas 553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5539" name="Flèche vers le bas 553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5540" name="Flèche vers le bas 553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5541" name="Flèche vers le bas 554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96</xdr:row>
      <xdr:rowOff>313765</xdr:rowOff>
    </xdr:from>
    <xdr:to>
      <xdr:col>0</xdr:col>
      <xdr:colOff>1165413</xdr:colOff>
      <xdr:row>97</xdr:row>
      <xdr:rowOff>44824</xdr:rowOff>
    </xdr:to>
    <xdr:sp macro="" textlink="">
      <xdr:nvSpPr>
        <xdr:cNvPr id="5542" name="Flèche vers le bas 554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5543" name="Flèche vers le bas 554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5544" name="Flèche vers le bas 554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5545" name="Flèche vers le bas 554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5546" name="Flèche vers le bas 554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5547" name="Flèche vers le bas 554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5548" name="Flèche vers le bas 554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5549" name="Flèche vers le bas 554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5550" name="Flèche vers le bas 554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5551" name="Flèche vers le bas 555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97</xdr:row>
      <xdr:rowOff>313765</xdr:rowOff>
    </xdr:from>
    <xdr:to>
      <xdr:col>0</xdr:col>
      <xdr:colOff>1165413</xdr:colOff>
      <xdr:row>98</xdr:row>
      <xdr:rowOff>44824</xdr:rowOff>
    </xdr:to>
    <xdr:sp macro="" textlink="">
      <xdr:nvSpPr>
        <xdr:cNvPr id="5552" name="Flèche vers le bas 555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5553" name="Flèche vers le bas 555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5554" name="Flèche vers le bas 555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5555" name="Flèche vers le bas 555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5556" name="Flèche vers le bas 555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5557" name="Flèche vers le bas 555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5558" name="Flèche vers le bas 555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5559" name="Flèche vers le bas 555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5560" name="Flèche vers le bas 555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5561" name="Flèche vers le bas 556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98</xdr:row>
      <xdr:rowOff>313765</xdr:rowOff>
    </xdr:from>
    <xdr:to>
      <xdr:col>0</xdr:col>
      <xdr:colOff>1165413</xdr:colOff>
      <xdr:row>99</xdr:row>
      <xdr:rowOff>44824</xdr:rowOff>
    </xdr:to>
    <xdr:sp macro="" textlink="">
      <xdr:nvSpPr>
        <xdr:cNvPr id="5562" name="Flèche vers le bas 556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5563" name="Flèche vers le bas 556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5564" name="Flèche vers le bas 556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5565" name="Flèche vers le bas 556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5566" name="Flèche vers le bas 556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5567" name="Flèche vers le bas 556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5568" name="Flèche vers le bas 556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5569" name="Flèche vers le bas 556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5570" name="Flèche vers le bas 556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5571" name="Flèche vers le bas 557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99</xdr:row>
      <xdr:rowOff>313765</xdr:rowOff>
    </xdr:from>
    <xdr:to>
      <xdr:col>0</xdr:col>
      <xdr:colOff>1165413</xdr:colOff>
      <xdr:row>100</xdr:row>
      <xdr:rowOff>44824</xdr:rowOff>
    </xdr:to>
    <xdr:sp macro="" textlink="">
      <xdr:nvSpPr>
        <xdr:cNvPr id="5572" name="Flèche vers le bas 557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5573" name="Flèche vers le bas 557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5574" name="Flèche vers le bas 557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5575" name="Flèche vers le bas 557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5576" name="Flèche vers le bas 557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5577" name="Flèche vers le bas 557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5578" name="Flèche vers le bas 557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5579" name="Flèche vers le bas 557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5580" name="Flèche vers le bas 557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5581" name="Flèche vers le bas 558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100</xdr:row>
      <xdr:rowOff>313765</xdr:rowOff>
    </xdr:from>
    <xdr:to>
      <xdr:col>0</xdr:col>
      <xdr:colOff>1165413</xdr:colOff>
      <xdr:row>101</xdr:row>
      <xdr:rowOff>44824</xdr:rowOff>
    </xdr:to>
    <xdr:sp macro="" textlink="">
      <xdr:nvSpPr>
        <xdr:cNvPr id="5582" name="Flèche vers le bas 558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5583" name="Flèche vers le bas 558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5584" name="Flèche vers le bas 558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5585" name="Flèche vers le bas 558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5586" name="Flèche vers le bas 558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5587" name="Flèche vers le bas 558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5588" name="Flèche vers le bas 558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5589" name="Flèche vers le bas 558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5590" name="Flèche vers le bas 558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5591" name="Flèche vers le bas 559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101</xdr:row>
      <xdr:rowOff>313765</xdr:rowOff>
    </xdr:from>
    <xdr:to>
      <xdr:col>0</xdr:col>
      <xdr:colOff>1165413</xdr:colOff>
      <xdr:row>102</xdr:row>
      <xdr:rowOff>44824</xdr:rowOff>
    </xdr:to>
    <xdr:sp macro="" textlink="">
      <xdr:nvSpPr>
        <xdr:cNvPr id="5592" name="Flèche vers le bas 559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5593" name="Flèche vers le bas 559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5594" name="Flèche vers le bas 559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5595" name="Flèche vers le bas 559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5596" name="Flèche vers le bas 559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5597" name="Flèche vers le bas 559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5598" name="Flèche vers le bas 559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5599" name="Flèche vers le bas 559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5600" name="Flèche vers le bas 559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5601" name="Flèche vers le bas 560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102</xdr:row>
      <xdr:rowOff>313765</xdr:rowOff>
    </xdr:from>
    <xdr:to>
      <xdr:col>0</xdr:col>
      <xdr:colOff>1165413</xdr:colOff>
      <xdr:row>103</xdr:row>
      <xdr:rowOff>44824</xdr:rowOff>
    </xdr:to>
    <xdr:sp macro="" textlink="">
      <xdr:nvSpPr>
        <xdr:cNvPr id="5602" name="Flèche vers le bas 560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5603" name="Flèche vers le bas 560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5604" name="Flèche vers le bas 560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5605" name="Flèche vers le bas 560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5606" name="Flèche vers le bas 560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5607" name="Flèche vers le bas 560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5608" name="Flèche vers le bas 560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5609" name="Flèche vers le bas 560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5610" name="Flèche vers le bas 560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5611" name="Flèche vers le bas 561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103</xdr:row>
      <xdr:rowOff>313765</xdr:rowOff>
    </xdr:from>
    <xdr:to>
      <xdr:col>0</xdr:col>
      <xdr:colOff>1165413</xdr:colOff>
      <xdr:row>104</xdr:row>
      <xdr:rowOff>44824</xdr:rowOff>
    </xdr:to>
    <xdr:sp macro="" textlink="">
      <xdr:nvSpPr>
        <xdr:cNvPr id="5612" name="Flèche vers le bas 561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5613" name="Flèche vers le bas 561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5614" name="Flèche vers le bas 561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5615" name="Flèche vers le bas 561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5616" name="Flèche vers le bas 561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5617" name="Flèche vers le bas 561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5618" name="Flèche vers le bas 561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5619" name="Flèche vers le bas 561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5620" name="Flèche vers le bas 561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5621" name="Flèche vers le bas 562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104</xdr:row>
      <xdr:rowOff>313765</xdr:rowOff>
    </xdr:from>
    <xdr:to>
      <xdr:col>0</xdr:col>
      <xdr:colOff>1165413</xdr:colOff>
      <xdr:row>105</xdr:row>
      <xdr:rowOff>44824</xdr:rowOff>
    </xdr:to>
    <xdr:sp macro="" textlink="">
      <xdr:nvSpPr>
        <xdr:cNvPr id="5622" name="Flèche vers le bas 562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5623" name="Flèche vers le bas 562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5624" name="Flèche vers le bas 562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5625" name="Flèche vers le bas 562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5626" name="Flèche vers le bas 562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5627" name="Flèche vers le bas 562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5628" name="Flèche vers le bas 562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5629" name="Flèche vers le bas 562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5630" name="Flèche vers le bas 562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5631" name="Flèche vers le bas 563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105</xdr:row>
      <xdr:rowOff>313765</xdr:rowOff>
    </xdr:from>
    <xdr:to>
      <xdr:col>0</xdr:col>
      <xdr:colOff>1165413</xdr:colOff>
      <xdr:row>106</xdr:row>
      <xdr:rowOff>44824</xdr:rowOff>
    </xdr:to>
    <xdr:sp macro="" textlink="">
      <xdr:nvSpPr>
        <xdr:cNvPr id="5632" name="Flèche vers le bas 563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5633" name="Flèche vers le bas 563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5634" name="Flèche vers le bas 563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5635" name="Flèche vers le bas 563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5636" name="Flèche vers le bas 563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5637" name="Flèche vers le bas 563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5638" name="Flèche vers le bas 563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5639" name="Flèche vers le bas 563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5640" name="Flèche vers le bas 563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5641" name="Flèche vers le bas 564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106</xdr:row>
      <xdr:rowOff>313765</xdr:rowOff>
    </xdr:from>
    <xdr:to>
      <xdr:col>0</xdr:col>
      <xdr:colOff>1165413</xdr:colOff>
      <xdr:row>107</xdr:row>
      <xdr:rowOff>44824</xdr:rowOff>
    </xdr:to>
    <xdr:sp macro="" textlink="">
      <xdr:nvSpPr>
        <xdr:cNvPr id="5642" name="Flèche vers le bas 564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5643" name="Flèche vers le bas 564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5644" name="Flèche vers le bas 564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5645" name="Flèche vers le bas 564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5646" name="Flèche vers le bas 564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5647" name="Flèche vers le bas 564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5648" name="Flèche vers le bas 564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5649" name="Flèche vers le bas 564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5650" name="Flèche vers le bas 564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5651" name="Flèche vers le bas 565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107</xdr:row>
      <xdr:rowOff>313765</xdr:rowOff>
    </xdr:from>
    <xdr:to>
      <xdr:col>0</xdr:col>
      <xdr:colOff>1165413</xdr:colOff>
      <xdr:row>108</xdr:row>
      <xdr:rowOff>44824</xdr:rowOff>
    </xdr:to>
    <xdr:sp macro="" textlink="">
      <xdr:nvSpPr>
        <xdr:cNvPr id="5652" name="Flèche vers le bas 565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5653" name="Flèche vers le bas 565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5654" name="Flèche vers le bas 565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5655" name="Flèche vers le bas 565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5656" name="Flèche vers le bas 565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5657" name="Flèche vers le bas 565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5658" name="Flèche vers le bas 565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5659" name="Flèche vers le bas 565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5660" name="Flèche vers le bas 565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5661" name="Flèche vers le bas 566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108</xdr:row>
      <xdr:rowOff>313765</xdr:rowOff>
    </xdr:from>
    <xdr:to>
      <xdr:col>0</xdr:col>
      <xdr:colOff>1165413</xdr:colOff>
      <xdr:row>109</xdr:row>
      <xdr:rowOff>44824</xdr:rowOff>
    </xdr:to>
    <xdr:sp macro="" textlink="">
      <xdr:nvSpPr>
        <xdr:cNvPr id="5662" name="Flèche vers le bas 566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5663" name="Flèche vers le bas 5662"/>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5664" name="Flèche vers le bas 5663"/>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5665" name="Flèche vers le bas 5664"/>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5666" name="Flèche vers le bas 5665"/>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5667" name="Flèche vers le bas 5666"/>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5668" name="Flèche vers le bas 5667"/>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5669" name="Flèche vers le bas 5668"/>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5670" name="Flèche vers le bas 5669"/>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5671" name="Flèche vers le bas 5670"/>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109</xdr:row>
      <xdr:rowOff>313765</xdr:rowOff>
    </xdr:from>
    <xdr:to>
      <xdr:col>0</xdr:col>
      <xdr:colOff>1165413</xdr:colOff>
      <xdr:row>110</xdr:row>
      <xdr:rowOff>44824</xdr:rowOff>
    </xdr:to>
    <xdr:sp macro="" textlink="">
      <xdr:nvSpPr>
        <xdr:cNvPr id="5672" name="Flèche vers le bas 5671"/>
        <xdr:cNvSpPr/>
      </xdr:nvSpPr>
      <xdr:spPr>
        <a:xfrm>
          <a:off x="1019737" y="1483979"/>
          <a:ext cx="145676" cy="3948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xdr:row>
      <xdr:rowOff>313765</xdr:rowOff>
    </xdr:from>
    <xdr:to>
      <xdr:col>0</xdr:col>
      <xdr:colOff>1165413</xdr:colOff>
      <xdr:row>9</xdr:row>
      <xdr:rowOff>44824</xdr:rowOff>
    </xdr:to>
    <xdr:sp macro="" textlink="">
      <xdr:nvSpPr>
        <xdr:cNvPr id="5683" name="Flèche vers le bas 5682"/>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xdr:row>
      <xdr:rowOff>313765</xdr:rowOff>
    </xdr:from>
    <xdr:to>
      <xdr:col>0</xdr:col>
      <xdr:colOff>1165413</xdr:colOff>
      <xdr:row>9</xdr:row>
      <xdr:rowOff>44824</xdr:rowOff>
    </xdr:to>
    <xdr:sp macro="" textlink="">
      <xdr:nvSpPr>
        <xdr:cNvPr id="5684" name="Flèche vers le bas 5683"/>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xdr:row>
      <xdr:rowOff>313765</xdr:rowOff>
    </xdr:from>
    <xdr:to>
      <xdr:col>0</xdr:col>
      <xdr:colOff>1165413</xdr:colOff>
      <xdr:row>9</xdr:row>
      <xdr:rowOff>44824</xdr:rowOff>
    </xdr:to>
    <xdr:sp macro="" textlink="">
      <xdr:nvSpPr>
        <xdr:cNvPr id="5685" name="Flèche vers le bas 5684"/>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xdr:row>
      <xdr:rowOff>313765</xdr:rowOff>
    </xdr:from>
    <xdr:to>
      <xdr:col>0</xdr:col>
      <xdr:colOff>1165413</xdr:colOff>
      <xdr:row>9</xdr:row>
      <xdr:rowOff>44824</xdr:rowOff>
    </xdr:to>
    <xdr:sp macro="" textlink="">
      <xdr:nvSpPr>
        <xdr:cNvPr id="5686" name="Flèche vers le bas 5685"/>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xdr:row>
      <xdr:rowOff>313765</xdr:rowOff>
    </xdr:from>
    <xdr:to>
      <xdr:col>0</xdr:col>
      <xdr:colOff>1165413</xdr:colOff>
      <xdr:row>10</xdr:row>
      <xdr:rowOff>44824</xdr:rowOff>
    </xdr:to>
    <xdr:sp macro="" textlink="">
      <xdr:nvSpPr>
        <xdr:cNvPr id="5687" name="Flèche vers le bas 5686"/>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xdr:row>
      <xdr:rowOff>313765</xdr:rowOff>
    </xdr:from>
    <xdr:to>
      <xdr:col>0</xdr:col>
      <xdr:colOff>1165413</xdr:colOff>
      <xdr:row>10</xdr:row>
      <xdr:rowOff>44824</xdr:rowOff>
    </xdr:to>
    <xdr:sp macro="" textlink="">
      <xdr:nvSpPr>
        <xdr:cNvPr id="5688" name="Flèche vers le bas 5687"/>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xdr:row>
      <xdr:rowOff>313765</xdr:rowOff>
    </xdr:from>
    <xdr:to>
      <xdr:col>0</xdr:col>
      <xdr:colOff>1165413</xdr:colOff>
      <xdr:row>10</xdr:row>
      <xdr:rowOff>44824</xdr:rowOff>
    </xdr:to>
    <xdr:sp macro="" textlink="">
      <xdr:nvSpPr>
        <xdr:cNvPr id="5689" name="Flèche vers le bas 5688"/>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xdr:row>
      <xdr:rowOff>313765</xdr:rowOff>
    </xdr:from>
    <xdr:to>
      <xdr:col>0</xdr:col>
      <xdr:colOff>1165413</xdr:colOff>
      <xdr:row>10</xdr:row>
      <xdr:rowOff>44824</xdr:rowOff>
    </xdr:to>
    <xdr:sp macro="" textlink="">
      <xdr:nvSpPr>
        <xdr:cNvPr id="5690" name="Flèche vers le bas 5689"/>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5691" name="Flèche vers le bas 5690"/>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5692" name="Flèche vers le bas 5691"/>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5693" name="Flèche vers le bas 5692"/>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5694" name="Flèche vers le bas 5693"/>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5695" name="Flèche vers le bas 5694"/>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5696" name="Flèche vers le bas 5695"/>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5697" name="Flèche vers le bas 5696"/>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5698" name="Flèche vers le bas 5697"/>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5699" name="Flèche vers le bas 5698"/>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5700" name="Flèche vers le bas 5699"/>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5701" name="Flèche vers le bas 5700"/>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5702" name="Flèche vers le bas 5701"/>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5703" name="Flèche vers le bas 5702"/>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5704" name="Flèche vers le bas 5703"/>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5705" name="Flèche vers le bas 5704"/>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5706" name="Flèche vers le bas 5705"/>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5707" name="Flèche vers le bas 5706"/>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5708" name="Flèche vers le bas 5707"/>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5709" name="Flèche vers le bas 5708"/>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5710" name="Flèche vers le bas 5709"/>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5711" name="Flèche vers le bas 5710"/>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5712" name="Flèche vers le bas 5711"/>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5713" name="Flèche vers le bas 5712"/>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5714" name="Flèche vers le bas 5713"/>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5715" name="Flèche vers le bas 5714"/>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5716" name="Flèche vers le bas 5715"/>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5717" name="Flèche vers le bas 5716"/>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5718" name="Flèche vers le bas 5717"/>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5719" name="Flèche vers le bas 5718"/>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5720" name="Flèche vers le bas 5719"/>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5721" name="Flèche vers le bas 5720"/>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5722" name="Flèche vers le bas 5721"/>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5723" name="Flèche vers le bas 5722"/>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5724" name="Flèche vers le bas 5723"/>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5725" name="Flèche vers le bas 5724"/>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5726" name="Flèche vers le bas 5725"/>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5727" name="Flèche vers le bas 5726"/>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5728" name="Flèche vers le bas 5727"/>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5729" name="Flèche vers le bas 5728"/>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5730" name="Flèche vers le bas 5729"/>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5731" name="Flèche vers le bas 5730"/>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5732" name="Flèche vers le bas 5731"/>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5733" name="Flèche vers le bas 5732"/>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5734" name="Flèche vers le bas 5733"/>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5735" name="Flèche vers le bas 5734"/>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5736" name="Flèche vers le bas 5735"/>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5737" name="Flèche vers le bas 5736"/>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5738" name="Flèche vers le bas 5737"/>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5739" name="Flèche vers le bas 5738"/>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5740" name="Flèche vers le bas 5739"/>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5741" name="Flèche vers le bas 5740"/>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5742" name="Flèche vers le bas 5741"/>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5743" name="Flèche vers le bas 5742"/>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5744" name="Flèche vers le bas 5743"/>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5745" name="Flèche vers le bas 5744"/>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5746" name="Flèche vers le bas 5745"/>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5747" name="Flèche vers le bas 5746"/>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5748" name="Flèche vers le bas 5747"/>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5749" name="Flèche vers le bas 5748"/>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5750" name="Flèche vers le bas 5749"/>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5751" name="Flèche vers le bas 5750"/>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5752" name="Flèche vers le bas 5751"/>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5753" name="Flèche vers le bas 5752"/>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5754" name="Flèche vers le bas 5753"/>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5755" name="Flèche vers le bas 5754"/>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5756" name="Flèche vers le bas 5755"/>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5757" name="Flèche vers le bas 5756"/>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5758" name="Flèche vers le bas 5757"/>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5759" name="Flèche vers le bas 5758"/>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5760" name="Flèche vers le bas 5759"/>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5761" name="Flèche vers le bas 5760"/>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5762" name="Flèche vers le bas 5761"/>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5763" name="Flèche vers le bas 5762"/>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5764" name="Flèche vers le bas 5763"/>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5765" name="Flèche vers le bas 5764"/>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5766" name="Flèche vers le bas 5765"/>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5767" name="Flèche vers le bas 5766"/>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5768" name="Flèche vers le bas 5767"/>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5769" name="Flèche vers le bas 5768"/>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5770" name="Flèche vers le bas 5769"/>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5771" name="Flèche vers le bas 5770"/>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5772" name="Flèche vers le bas 5771"/>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5773" name="Flèche vers le bas 5772"/>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5774" name="Flèche vers le bas 5773"/>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5775" name="Flèche vers le bas 5774"/>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5776" name="Flèche vers le bas 5775"/>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5777" name="Flèche vers le bas 5776"/>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5778" name="Flèche vers le bas 5777"/>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5779" name="Flèche vers le bas 5778"/>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5780" name="Flèche vers le bas 5779"/>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5781" name="Flèche vers le bas 5780"/>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5782" name="Flèche vers le bas 5781"/>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5783" name="Flèche vers le bas 5782"/>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5784" name="Flèche vers le bas 5783"/>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5785" name="Flèche vers le bas 5784"/>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5786" name="Flèche vers le bas 5785"/>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5787" name="Flèche vers le bas 5786"/>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5788" name="Flèche vers le bas 5787"/>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5789" name="Flèche vers le bas 5788"/>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5790" name="Flèche vers le bas 5789"/>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5791" name="Flèche vers le bas 5790"/>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5792" name="Flèche vers le bas 5791"/>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5793" name="Flèche vers le bas 5792"/>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5794" name="Flèche vers le bas 5793"/>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5795" name="Flèche vers le bas 5794"/>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5796" name="Flèche vers le bas 5795"/>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5797" name="Flèche vers le bas 5796"/>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5798" name="Flèche vers le bas 5797"/>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5799" name="Flèche vers le bas 5798"/>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5800" name="Flèche vers le bas 5799"/>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5801" name="Flèche vers le bas 5800"/>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5802" name="Flèche vers le bas 5801"/>
        <xdr:cNvSpPr/>
      </xdr:nvSpPr>
      <xdr:spPr>
        <a:xfrm>
          <a:off x="1019737" y="1302551"/>
          <a:ext cx="145676" cy="3948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xdr:row>
      <xdr:rowOff>313765</xdr:rowOff>
    </xdr:from>
    <xdr:to>
      <xdr:col>0</xdr:col>
      <xdr:colOff>1165413</xdr:colOff>
      <xdr:row>8</xdr:row>
      <xdr:rowOff>44824</xdr:rowOff>
    </xdr:to>
    <xdr:sp macro="" textlink="">
      <xdr:nvSpPr>
        <xdr:cNvPr id="5803" name="Flèche vers le bas 5802"/>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xdr:row>
      <xdr:rowOff>313765</xdr:rowOff>
    </xdr:from>
    <xdr:to>
      <xdr:col>0</xdr:col>
      <xdr:colOff>1165413</xdr:colOff>
      <xdr:row>9</xdr:row>
      <xdr:rowOff>44824</xdr:rowOff>
    </xdr:to>
    <xdr:sp macro="" textlink="">
      <xdr:nvSpPr>
        <xdr:cNvPr id="5804" name="Flèche vers le bas 5803"/>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xdr:row>
      <xdr:rowOff>313765</xdr:rowOff>
    </xdr:from>
    <xdr:to>
      <xdr:col>0</xdr:col>
      <xdr:colOff>1165413</xdr:colOff>
      <xdr:row>10</xdr:row>
      <xdr:rowOff>44824</xdr:rowOff>
    </xdr:to>
    <xdr:sp macro="" textlink="">
      <xdr:nvSpPr>
        <xdr:cNvPr id="5805" name="Flèche vers le bas 5804"/>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5806" name="Flèche vers le bas 5805"/>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5807" name="Flèche vers le bas 5806"/>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5808" name="Flèche vers le bas 5807"/>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5809" name="Flèche vers le bas 5808"/>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5810" name="Flèche vers le bas 5809"/>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5811" name="Flèche vers le bas 5810"/>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5812" name="Flèche vers le bas 5811"/>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5813" name="Flèche vers le bas 5812"/>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5814" name="Flèche vers le bas 5813"/>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5815" name="Flèche vers le bas 5814"/>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5816" name="Flèche vers le bas 5815"/>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5817" name="Flèche vers le bas 5816"/>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5818" name="Flèche vers le bas 5817"/>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5819" name="Flèche vers le bas 5818"/>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5820" name="Flèche vers le bas 5819"/>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5821" name="Flèche vers le bas 5820"/>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5822" name="Flèche vers le bas 5821"/>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5823" name="Flèche vers le bas 5822"/>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5824" name="Flèche vers le bas 5823"/>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5825" name="Flèche vers le bas 5824"/>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5826" name="Flèche vers le bas 5825"/>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5827" name="Flèche vers le bas 5826"/>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5828" name="Flèche vers le bas 5827"/>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5829" name="Flèche vers le bas 5828"/>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5830" name="Flèche vers le bas 5829"/>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5831" name="Flèche vers le bas 5830"/>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5832" name="Flèche vers le bas 5831"/>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5833" name="Flèche vers le bas 5832"/>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38</xdr:row>
      <xdr:rowOff>313765</xdr:rowOff>
    </xdr:from>
    <xdr:to>
      <xdr:col>0</xdr:col>
      <xdr:colOff>1165413</xdr:colOff>
      <xdr:row>39</xdr:row>
      <xdr:rowOff>44824</xdr:rowOff>
    </xdr:to>
    <xdr:sp macro="" textlink="">
      <xdr:nvSpPr>
        <xdr:cNvPr id="5834" name="Flèche vers le bas 5833"/>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39</xdr:row>
      <xdr:rowOff>313765</xdr:rowOff>
    </xdr:from>
    <xdr:to>
      <xdr:col>0</xdr:col>
      <xdr:colOff>1165413</xdr:colOff>
      <xdr:row>40</xdr:row>
      <xdr:rowOff>44824</xdr:rowOff>
    </xdr:to>
    <xdr:sp macro="" textlink="">
      <xdr:nvSpPr>
        <xdr:cNvPr id="5835" name="Flèche vers le bas 5834"/>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40</xdr:row>
      <xdr:rowOff>313765</xdr:rowOff>
    </xdr:from>
    <xdr:to>
      <xdr:col>0</xdr:col>
      <xdr:colOff>1165413</xdr:colOff>
      <xdr:row>41</xdr:row>
      <xdr:rowOff>44824</xdr:rowOff>
    </xdr:to>
    <xdr:sp macro="" textlink="">
      <xdr:nvSpPr>
        <xdr:cNvPr id="5836" name="Flèche vers le bas 5835"/>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41</xdr:row>
      <xdr:rowOff>313765</xdr:rowOff>
    </xdr:from>
    <xdr:to>
      <xdr:col>0</xdr:col>
      <xdr:colOff>1165413</xdr:colOff>
      <xdr:row>42</xdr:row>
      <xdr:rowOff>44824</xdr:rowOff>
    </xdr:to>
    <xdr:sp macro="" textlink="">
      <xdr:nvSpPr>
        <xdr:cNvPr id="5837" name="Flèche vers le bas 5836"/>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42</xdr:row>
      <xdr:rowOff>313765</xdr:rowOff>
    </xdr:from>
    <xdr:to>
      <xdr:col>0</xdr:col>
      <xdr:colOff>1165413</xdr:colOff>
      <xdr:row>43</xdr:row>
      <xdr:rowOff>44824</xdr:rowOff>
    </xdr:to>
    <xdr:sp macro="" textlink="">
      <xdr:nvSpPr>
        <xdr:cNvPr id="5838" name="Flèche vers le bas 5837"/>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43</xdr:row>
      <xdr:rowOff>313765</xdr:rowOff>
    </xdr:from>
    <xdr:to>
      <xdr:col>0</xdr:col>
      <xdr:colOff>1165413</xdr:colOff>
      <xdr:row>44</xdr:row>
      <xdr:rowOff>44824</xdr:rowOff>
    </xdr:to>
    <xdr:sp macro="" textlink="">
      <xdr:nvSpPr>
        <xdr:cNvPr id="5839" name="Flèche vers le bas 5838"/>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44</xdr:row>
      <xdr:rowOff>313765</xdr:rowOff>
    </xdr:from>
    <xdr:to>
      <xdr:col>0</xdr:col>
      <xdr:colOff>1165413</xdr:colOff>
      <xdr:row>45</xdr:row>
      <xdr:rowOff>44824</xdr:rowOff>
    </xdr:to>
    <xdr:sp macro="" textlink="">
      <xdr:nvSpPr>
        <xdr:cNvPr id="5840" name="Flèche vers le bas 5839"/>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45</xdr:row>
      <xdr:rowOff>313765</xdr:rowOff>
    </xdr:from>
    <xdr:to>
      <xdr:col>0</xdr:col>
      <xdr:colOff>1165413</xdr:colOff>
      <xdr:row>46</xdr:row>
      <xdr:rowOff>44824</xdr:rowOff>
    </xdr:to>
    <xdr:sp macro="" textlink="">
      <xdr:nvSpPr>
        <xdr:cNvPr id="5841" name="Flèche vers le bas 5840"/>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46</xdr:row>
      <xdr:rowOff>313765</xdr:rowOff>
    </xdr:from>
    <xdr:to>
      <xdr:col>0</xdr:col>
      <xdr:colOff>1165413</xdr:colOff>
      <xdr:row>47</xdr:row>
      <xdr:rowOff>44824</xdr:rowOff>
    </xdr:to>
    <xdr:sp macro="" textlink="">
      <xdr:nvSpPr>
        <xdr:cNvPr id="5842" name="Flèche vers le bas 5841"/>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7</xdr:row>
      <xdr:rowOff>313765</xdr:rowOff>
    </xdr:from>
    <xdr:to>
      <xdr:col>0</xdr:col>
      <xdr:colOff>1165413</xdr:colOff>
      <xdr:row>8</xdr:row>
      <xdr:rowOff>44824</xdr:rowOff>
    </xdr:to>
    <xdr:sp macro="" textlink="">
      <xdr:nvSpPr>
        <xdr:cNvPr id="5843" name="Flèche vers le bas 5842"/>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8</xdr:row>
      <xdr:rowOff>313765</xdr:rowOff>
    </xdr:from>
    <xdr:to>
      <xdr:col>0</xdr:col>
      <xdr:colOff>1165413</xdr:colOff>
      <xdr:row>9</xdr:row>
      <xdr:rowOff>44824</xdr:rowOff>
    </xdr:to>
    <xdr:sp macro="" textlink="">
      <xdr:nvSpPr>
        <xdr:cNvPr id="5844" name="Flèche vers le bas 5843"/>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9</xdr:row>
      <xdr:rowOff>313765</xdr:rowOff>
    </xdr:from>
    <xdr:to>
      <xdr:col>0</xdr:col>
      <xdr:colOff>1165413</xdr:colOff>
      <xdr:row>10</xdr:row>
      <xdr:rowOff>44824</xdr:rowOff>
    </xdr:to>
    <xdr:sp macro="" textlink="">
      <xdr:nvSpPr>
        <xdr:cNvPr id="5845" name="Flèche vers le bas 5844"/>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10</xdr:row>
      <xdr:rowOff>313765</xdr:rowOff>
    </xdr:from>
    <xdr:to>
      <xdr:col>0</xdr:col>
      <xdr:colOff>1165413</xdr:colOff>
      <xdr:row>11</xdr:row>
      <xdr:rowOff>44824</xdr:rowOff>
    </xdr:to>
    <xdr:sp macro="" textlink="">
      <xdr:nvSpPr>
        <xdr:cNvPr id="5846" name="Flèche vers le bas 5845"/>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xdr:row>
      <xdr:rowOff>313765</xdr:rowOff>
    </xdr:from>
    <xdr:to>
      <xdr:col>0</xdr:col>
      <xdr:colOff>1165413</xdr:colOff>
      <xdr:row>12</xdr:row>
      <xdr:rowOff>44824</xdr:rowOff>
    </xdr:to>
    <xdr:sp macro="" textlink="">
      <xdr:nvSpPr>
        <xdr:cNvPr id="5847" name="Flèche vers le bas 5846"/>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12</xdr:row>
      <xdr:rowOff>313765</xdr:rowOff>
    </xdr:from>
    <xdr:to>
      <xdr:col>0</xdr:col>
      <xdr:colOff>1165413</xdr:colOff>
      <xdr:row>13</xdr:row>
      <xdr:rowOff>44824</xdr:rowOff>
    </xdr:to>
    <xdr:sp macro="" textlink="">
      <xdr:nvSpPr>
        <xdr:cNvPr id="5848" name="Flèche vers le bas 5847"/>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13</xdr:row>
      <xdr:rowOff>313765</xdr:rowOff>
    </xdr:from>
    <xdr:to>
      <xdr:col>0</xdr:col>
      <xdr:colOff>1165413</xdr:colOff>
      <xdr:row>14</xdr:row>
      <xdr:rowOff>44824</xdr:rowOff>
    </xdr:to>
    <xdr:sp macro="" textlink="">
      <xdr:nvSpPr>
        <xdr:cNvPr id="5849" name="Flèche vers le bas 5848"/>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14</xdr:row>
      <xdr:rowOff>313765</xdr:rowOff>
    </xdr:from>
    <xdr:to>
      <xdr:col>0</xdr:col>
      <xdr:colOff>1165413</xdr:colOff>
      <xdr:row>15</xdr:row>
      <xdr:rowOff>44824</xdr:rowOff>
    </xdr:to>
    <xdr:sp macro="" textlink="">
      <xdr:nvSpPr>
        <xdr:cNvPr id="5850" name="Flèche vers le bas 5849"/>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15</xdr:row>
      <xdr:rowOff>313765</xdr:rowOff>
    </xdr:from>
    <xdr:to>
      <xdr:col>0</xdr:col>
      <xdr:colOff>1165413</xdr:colOff>
      <xdr:row>16</xdr:row>
      <xdr:rowOff>44824</xdr:rowOff>
    </xdr:to>
    <xdr:sp macro="" textlink="">
      <xdr:nvSpPr>
        <xdr:cNvPr id="5851" name="Flèche vers le bas 5850"/>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16</xdr:row>
      <xdr:rowOff>313765</xdr:rowOff>
    </xdr:from>
    <xdr:to>
      <xdr:col>0</xdr:col>
      <xdr:colOff>1165413</xdr:colOff>
      <xdr:row>17</xdr:row>
      <xdr:rowOff>44824</xdr:rowOff>
    </xdr:to>
    <xdr:sp macro="" textlink="">
      <xdr:nvSpPr>
        <xdr:cNvPr id="5852" name="Flèche vers le bas 5851"/>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17</xdr:row>
      <xdr:rowOff>313765</xdr:rowOff>
    </xdr:from>
    <xdr:to>
      <xdr:col>0</xdr:col>
      <xdr:colOff>1165413</xdr:colOff>
      <xdr:row>18</xdr:row>
      <xdr:rowOff>44824</xdr:rowOff>
    </xdr:to>
    <xdr:sp macro="" textlink="">
      <xdr:nvSpPr>
        <xdr:cNvPr id="5853" name="Flèche vers le bas 5852"/>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18</xdr:row>
      <xdr:rowOff>313765</xdr:rowOff>
    </xdr:from>
    <xdr:to>
      <xdr:col>0</xdr:col>
      <xdr:colOff>1165413</xdr:colOff>
      <xdr:row>19</xdr:row>
      <xdr:rowOff>44824</xdr:rowOff>
    </xdr:to>
    <xdr:sp macro="" textlink="">
      <xdr:nvSpPr>
        <xdr:cNvPr id="5854" name="Flèche vers le bas 5853"/>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19</xdr:row>
      <xdr:rowOff>313765</xdr:rowOff>
    </xdr:from>
    <xdr:to>
      <xdr:col>0</xdr:col>
      <xdr:colOff>1165413</xdr:colOff>
      <xdr:row>20</xdr:row>
      <xdr:rowOff>44824</xdr:rowOff>
    </xdr:to>
    <xdr:sp macro="" textlink="">
      <xdr:nvSpPr>
        <xdr:cNvPr id="5855" name="Flèche vers le bas 5854"/>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20</xdr:row>
      <xdr:rowOff>313765</xdr:rowOff>
    </xdr:from>
    <xdr:to>
      <xdr:col>0</xdr:col>
      <xdr:colOff>1165413</xdr:colOff>
      <xdr:row>21</xdr:row>
      <xdr:rowOff>44824</xdr:rowOff>
    </xdr:to>
    <xdr:sp macro="" textlink="">
      <xdr:nvSpPr>
        <xdr:cNvPr id="5856" name="Flèche vers le bas 5855"/>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21</xdr:row>
      <xdr:rowOff>313765</xdr:rowOff>
    </xdr:from>
    <xdr:to>
      <xdr:col>0</xdr:col>
      <xdr:colOff>1165413</xdr:colOff>
      <xdr:row>22</xdr:row>
      <xdr:rowOff>44824</xdr:rowOff>
    </xdr:to>
    <xdr:sp macro="" textlink="">
      <xdr:nvSpPr>
        <xdr:cNvPr id="5857" name="Flèche vers le bas 5856"/>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22</xdr:row>
      <xdr:rowOff>313765</xdr:rowOff>
    </xdr:from>
    <xdr:to>
      <xdr:col>0</xdr:col>
      <xdr:colOff>1165413</xdr:colOff>
      <xdr:row>23</xdr:row>
      <xdr:rowOff>44824</xdr:rowOff>
    </xdr:to>
    <xdr:sp macro="" textlink="">
      <xdr:nvSpPr>
        <xdr:cNvPr id="5858" name="Flèche vers le bas 5857"/>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23</xdr:row>
      <xdr:rowOff>313765</xdr:rowOff>
    </xdr:from>
    <xdr:to>
      <xdr:col>0</xdr:col>
      <xdr:colOff>1165413</xdr:colOff>
      <xdr:row>24</xdr:row>
      <xdr:rowOff>44824</xdr:rowOff>
    </xdr:to>
    <xdr:sp macro="" textlink="">
      <xdr:nvSpPr>
        <xdr:cNvPr id="5859" name="Flèche vers le bas 5858"/>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24</xdr:row>
      <xdr:rowOff>313765</xdr:rowOff>
    </xdr:from>
    <xdr:to>
      <xdr:col>0</xdr:col>
      <xdr:colOff>1165413</xdr:colOff>
      <xdr:row>25</xdr:row>
      <xdr:rowOff>44824</xdr:rowOff>
    </xdr:to>
    <xdr:sp macro="" textlink="">
      <xdr:nvSpPr>
        <xdr:cNvPr id="5860" name="Flèche vers le bas 5859"/>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25</xdr:row>
      <xdr:rowOff>313765</xdr:rowOff>
    </xdr:from>
    <xdr:to>
      <xdr:col>0</xdr:col>
      <xdr:colOff>1165413</xdr:colOff>
      <xdr:row>26</xdr:row>
      <xdr:rowOff>44824</xdr:rowOff>
    </xdr:to>
    <xdr:sp macro="" textlink="">
      <xdr:nvSpPr>
        <xdr:cNvPr id="5861" name="Flèche vers le bas 5860"/>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26</xdr:row>
      <xdr:rowOff>313765</xdr:rowOff>
    </xdr:from>
    <xdr:to>
      <xdr:col>0</xdr:col>
      <xdr:colOff>1165413</xdr:colOff>
      <xdr:row>27</xdr:row>
      <xdr:rowOff>44824</xdr:rowOff>
    </xdr:to>
    <xdr:sp macro="" textlink="">
      <xdr:nvSpPr>
        <xdr:cNvPr id="5862" name="Flèche vers le bas 5861"/>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27</xdr:row>
      <xdr:rowOff>313765</xdr:rowOff>
    </xdr:from>
    <xdr:to>
      <xdr:col>0</xdr:col>
      <xdr:colOff>1165413</xdr:colOff>
      <xdr:row>28</xdr:row>
      <xdr:rowOff>44824</xdr:rowOff>
    </xdr:to>
    <xdr:sp macro="" textlink="">
      <xdr:nvSpPr>
        <xdr:cNvPr id="5863" name="Flèche vers le bas 5862"/>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28</xdr:row>
      <xdr:rowOff>313765</xdr:rowOff>
    </xdr:from>
    <xdr:to>
      <xdr:col>0</xdr:col>
      <xdr:colOff>1165413</xdr:colOff>
      <xdr:row>29</xdr:row>
      <xdr:rowOff>44824</xdr:rowOff>
    </xdr:to>
    <xdr:sp macro="" textlink="">
      <xdr:nvSpPr>
        <xdr:cNvPr id="5864" name="Flèche vers le bas 5863"/>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29</xdr:row>
      <xdr:rowOff>313765</xdr:rowOff>
    </xdr:from>
    <xdr:to>
      <xdr:col>0</xdr:col>
      <xdr:colOff>1165413</xdr:colOff>
      <xdr:row>30</xdr:row>
      <xdr:rowOff>44824</xdr:rowOff>
    </xdr:to>
    <xdr:sp macro="" textlink="">
      <xdr:nvSpPr>
        <xdr:cNvPr id="5865" name="Flèche vers le bas 5864"/>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30</xdr:row>
      <xdr:rowOff>313765</xdr:rowOff>
    </xdr:from>
    <xdr:to>
      <xdr:col>0</xdr:col>
      <xdr:colOff>1165413</xdr:colOff>
      <xdr:row>31</xdr:row>
      <xdr:rowOff>44824</xdr:rowOff>
    </xdr:to>
    <xdr:sp macro="" textlink="">
      <xdr:nvSpPr>
        <xdr:cNvPr id="5866" name="Flèche vers le bas 5865"/>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31</xdr:row>
      <xdr:rowOff>313765</xdr:rowOff>
    </xdr:from>
    <xdr:to>
      <xdr:col>0</xdr:col>
      <xdr:colOff>1165413</xdr:colOff>
      <xdr:row>32</xdr:row>
      <xdr:rowOff>44824</xdr:rowOff>
    </xdr:to>
    <xdr:sp macro="" textlink="">
      <xdr:nvSpPr>
        <xdr:cNvPr id="5867" name="Flèche vers le bas 5866"/>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32</xdr:row>
      <xdr:rowOff>313765</xdr:rowOff>
    </xdr:from>
    <xdr:to>
      <xdr:col>0</xdr:col>
      <xdr:colOff>1165413</xdr:colOff>
      <xdr:row>33</xdr:row>
      <xdr:rowOff>44824</xdr:rowOff>
    </xdr:to>
    <xdr:sp macro="" textlink="">
      <xdr:nvSpPr>
        <xdr:cNvPr id="5868" name="Flèche vers le bas 5867"/>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33</xdr:row>
      <xdr:rowOff>313765</xdr:rowOff>
    </xdr:from>
    <xdr:to>
      <xdr:col>0</xdr:col>
      <xdr:colOff>1165413</xdr:colOff>
      <xdr:row>34</xdr:row>
      <xdr:rowOff>44824</xdr:rowOff>
    </xdr:to>
    <xdr:sp macro="" textlink="">
      <xdr:nvSpPr>
        <xdr:cNvPr id="5869" name="Flèche vers le bas 5868"/>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34</xdr:row>
      <xdr:rowOff>313765</xdr:rowOff>
    </xdr:from>
    <xdr:to>
      <xdr:col>0</xdr:col>
      <xdr:colOff>1165413</xdr:colOff>
      <xdr:row>35</xdr:row>
      <xdr:rowOff>44824</xdr:rowOff>
    </xdr:to>
    <xdr:sp macro="" textlink="">
      <xdr:nvSpPr>
        <xdr:cNvPr id="5870" name="Flèche vers le bas 5869"/>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35</xdr:row>
      <xdr:rowOff>313765</xdr:rowOff>
    </xdr:from>
    <xdr:to>
      <xdr:col>0</xdr:col>
      <xdr:colOff>1165413</xdr:colOff>
      <xdr:row>36</xdr:row>
      <xdr:rowOff>44824</xdr:rowOff>
    </xdr:to>
    <xdr:sp macro="" textlink="">
      <xdr:nvSpPr>
        <xdr:cNvPr id="5871" name="Flèche vers le bas 5870"/>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36</xdr:row>
      <xdr:rowOff>313765</xdr:rowOff>
    </xdr:from>
    <xdr:to>
      <xdr:col>0</xdr:col>
      <xdr:colOff>1165413</xdr:colOff>
      <xdr:row>37</xdr:row>
      <xdr:rowOff>44824</xdr:rowOff>
    </xdr:to>
    <xdr:sp macro="" textlink="">
      <xdr:nvSpPr>
        <xdr:cNvPr id="5872" name="Flèche vers le bas 5871"/>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37</xdr:row>
      <xdr:rowOff>313765</xdr:rowOff>
    </xdr:from>
    <xdr:to>
      <xdr:col>0</xdr:col>
      <xdr:colOff>1165413</xdr:colOff>
      <xdr:row>38</xdr:row>
      <xdr:rowOff>44824</xdr:rowOff>
    </xdr:to>
    <xdr:sp macro="" textlink="">
      <xdr:nvSpPr>
        <xdr:cNvPr id="5873" name="Flèche vers le bas 5872"/>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38</xdr:row>
      <xdr:rowOff>313765</xdr:rowOff>
    </xdr:from>
    <xdr:to>
      <xdr:col>0</xdr:col>
      <xdr:colOff>1165413</xdr:colOff>
      <xdr:row>39</xdr:row>
      <xdr:rowOff>44824</xdr:rowOff>
    </xdr:to>
    <xdr:sp macro="" textlink="">
      <xdr:nvSpPr>
        <xdr:cNvPr id="5874" name="Flèche vers le bas 5873"/>
        <xdr:cNvSpPr/>
      </xdr:nvSpPr>
      <xdr:spPr>
        <a:xfrm>
          <a:off x="1019737" y="994947"/>
          <a:ext cx="145676" cy="18133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875" name="Flèche vers le bas 5874"/>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876" name="Flèche vers le bas 5875"/>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877" name="Flèche vers le bas 5876"/>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878" name="Flèche vers le bas 5877"/>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879" name="Flèche vers le bas 5878"/>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880" name="Flèche vers le bas 5879"/>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881" name="Flèche vers le bas 5880"/>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882" name="Flèche vers le bas 5881"/>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883" name="Flèche vers le bas 5882"/>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884" name="Flèche vers le bas 5883"/>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885" name="Flèche vers le bas 5884"/>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886" name="Flèche vers le bas 5885"/>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887" name="Flèche vers le bas 5886"/>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888" name="Flèche vers le bas 5887"/>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889" name="Flèche vers le bas 5888"/>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890" name="Flèche vers le bas 5889"/>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891" name="Flèche vers le bas 5890"/>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892" name="Flèche vers le bas 5891"/>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893" name="Flèche vers le bas 5892"/>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894" name="Flèche vers le bas 5893"/>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895" name="Flèche vers le bas 5894"/>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896" name="Flèche vers le bas 5895"/>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897" name="Flèche vers le bas 5896"/>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898" name="Flèche vers le bas 5897"/>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899" name="Flèche vers le bas 5898"/>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00" name="Flèche vers le bas 5899"/>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01" name="Flèche vers le bas 5900"/>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02" name="Flèche vers le bas 5901"/>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03" name="Flèche vers le bas 5902"/>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04" name="Flèche vers le bas 5903"/>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05" name="Flèche vers le bas 5904"/>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06" name="Flèche vers le bas 5905"/>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07" name="Flèche vers le bas 5906"/>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08" name="Flèche vers le bas 5907"/>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09" name="Flèche vers le bas 5908"/>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10" name="Flèche vers le bas 5909"/>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11" name="Flèche vers le bas 5910"/>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12" name="Flèche vers le bas 5911"/>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13" name="Flèche vers le bas 5912"/>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14" name="Flèche vers le bas 5913"/>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15" name="Flèche vers le bas 5914"/>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16" name="Flèche vers le bas 5915"/>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17" name="Flèche vers le bas 5916"/>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18" name="Flèche vers le bas 5917"/>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19" name="Flèche vers le bas 5918"/>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20" name="Flèche vers le bas 5919"/>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21" name="Flèche vers le bas 5920"/>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22" name="Flèche vers le bas 5921"/>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23" name="Flèche vers le bas 5922"/>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24" name="Flèche vers le bas 5923"/>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25" name="Flèche vers le bas 5924"/>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26" name="Flèche vers le bas 5925"/>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27" name="Flèche vers le bas 5926"/>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28" name="Flèche vers le bas 5927"/>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29" name="Flèche vers le bas 5928"/>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30" name="Flèche vers le bas 5929"/>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31" name="Flèche vers le bas 5930"/>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32" name="Flèche vers le bas 5931"/>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33" name="Flèche vers le bas 5932"/>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34" name="Flèche vers le bas 5933"/>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35" name="Flèche vers le bas 5934"/>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36" name="Flèche vers le bas 5935"/>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37" name="Flèche vers le bas 5936"/>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38" name="Flèche vers le bas 5937"/>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39" name="Flèche vers le bas 5938"/>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40" name="Flèche vers le bas 5939"/>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41" name="Flèche vers le bas 5940"/>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42" name="Flèche vers le bas 5941"/>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43" name="Flèche vers le bas 5942"/>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44" name="Flèche vers le bas 5943"/>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45" name="Flèche vers le bas 5944"/>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46" name="Flèche vers le bas 5945"/>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47" name="Flèche vers le bas 5946"/>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48" name="Flèche vers le bas 5947"/>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49" name="Flèche vers le bas 5948"/>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50" name="Flèche vers le bas 5949"/>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51" name="Flèche vers le bas 5950"/>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52" name="Flèche vers le bas 5951"/>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53" name="Flèche vers le bas 5952"/>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54" name="Flèche vers le bas 5953"/>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55" name="Flèche vers le bas 5954"/>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56" name="Flèche vers le bas 5955"/>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57" name="Flèche vers le bas 5956"/>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58" name="Flèche vers le bas 5957"/>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59" name="Flèche vers le bas 5958"/>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60" name="Flèche vers le bas 5959"/>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61" name="Flèche vers le bas 5960"/>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62" name="Flèche vers le bas 5961"/>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63" name="Flèche vers le bas 5962"/>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64" name="Flèche vers le bas 5963"/>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65" name="Flèche vers le bas 5964"/>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66" name="Flèche vers le bas 5965"/>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67" name="Flèche vers le bas 5966"/>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68" name="Flèche vers le bas 5967"/>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69" name="Flèche vers le bas 5968"/>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70" name="Flèche vers le bas 5969"/>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71" name="Flèche vers le bas 5970"/>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72" name="Flèche vers le bas 5971"/>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73" name="Flèche vers le bas 5972"/>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74" name="Flèche vers le bas 5973"/>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75" name="Flèche vers le bas 5974"/>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76" name="Flèche vers le bas 5975"/>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77" name="Flèche vers le bas 5976"/>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78" name="Flèche vers le bas 5977"/>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79" name="Flèche vers le bas 5978"/>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80" name="Flèche vers le bas 5979"/>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81" name="Flèche vers le bas 5980"/>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82" name="Flèche vers le bas 5981"/>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83" name="Flèche vers le bas 5982"/>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84" name="Flèche vers le bas 5983"/>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85" name="Flèche vers le bas 5984"/>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86" name="Flèche vers le bas 5985"/>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87" name="Flèche vers le bas 5986"/>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88" name="Flèche vers le bas 5987"/>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89" name="Flèche vers le bas 5988"/>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90" name="Flèche vers le bas 5989"/>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91" name="Flèche vers le bas 5990"/>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92" name="Flèche vers le bas 5991"/>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93" name="Flèche vers le bas 5992"/>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94" name="Flèche vers le bas 5993"/>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95" name="Flèche vers le bas 5994"/>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96" name="Flèche vers le bas 5995"/>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97" name="Flèche vers le bas 5996"/>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98" name="Flèche vers le bas 5997"/>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5999" name="Flèche vers le bas 5998"/>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6000" name="Flèche vers le bas 5999"/>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6001" name="Flèche vers le bas 6000"/>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6002" name="Flèche vers le bas 6001"/>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6003" name="Flèche vers le bas 6002"/>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6004" name="Flèche vers le bas 6003"/>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6005" name="Flèche vers le bas 6004"/>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6006" name="Flèche vers le bas 6005"/>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6007" name="Flèche vers le bas 6006"/>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6008" name="Flèche vers le bas 6007"/>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6009" name="Flèche vers le bas 6008"/>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6010" name="Flèche vers le bas 6009"/>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6011" name="Flèche vers le bas 6010"/>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6012" name="Flèche vers le bas 6011"/>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6013" name="Flèche vers le bas 6012"/>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6014" name="Flèche vers le bas 6013"/>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6015" name="Flèche vers le bas 6014"/>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1019737</xdr:colOff>
      <xdr:row>110</xdr:row>
      <xdr:rowOff>313765</xdr:rowOff>
    </xdr:from>
    <xdr:to>
      <xdr:col>0</xdr:col>
      <xdr:colOff>1165413</xdr:colOff>
      <xdr:row>111</xdr:row>
      <xdr:rowOff>44824</xdr:rowOff>
    </xdr:to>
    <xdr:sp macro="" textlink="">
      <xdr:nvSpPr>
        <xdr:cNvPr id="6016" name="Flèche vers le bas 6015"/>
        <xdr:cNvSpPr/>
      </xdr:nvSpPr>
      <xdr:spPr>
        <a:xfrm>
          <a:off x="1019737" y="19606220"/>
          <a:ext cx="145676" cy="427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762000</xdr:colOff>
      <xdr:row>2</xdr:row>
      <xdr:rowOff>142875</xdr:rowOff>
    </xdr:from>
    <xdr:to>
      <xdr:col>7</xdr:col>
      <xdr:colOff>0</xdr:colOff>
      <xdr:row>3</xdr:row>
      <xdr:rowOff>9525</xdr:rowOff>
    </xdr:to>
    <xdr:sp macro="" textlink="">
      <xdr:nvSpPr>
        <xdr:cNvPr id="2" name="ZoneTexte 1"/>
        <xdr:cNvSpPr txBox="1"/>
      </xdr:nvSpPr>
      <xdr:spPr>
        <a:xfrm>
          <a:off x="5476875" y="523875"/>
          <a:ext cx="57150" cy="57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FR" sz="1100"/>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rgb="FF92D050"/>
  </sheetPr>
  <dimension ref="A1:V25"/>
  <sheetViews>
    <sheetView workbookViewId="0">
      <selection activeCell="M11" sqref="M11"/>
    </sheetView>
  </sheetViews>
  <sheetFormatPr baseColWidth="10" defaultRowHeight="14.5" x14ac:dyDescent="0.35"/>
  <cols>
    <col min="1" max="1" width="15.1796875" customWidth="1"/>
    <col min="2" max="2" width="14.81640625" bestFit="1" customWidth="1"/>
  </cols>
  <sheetData>
    <row r="1" spans="1:22" x14ac:dyDescent="0.35">
      <c r="A1" s="15" t="s">
        <v>38</v>
      </c>
      <c r="B1" s="15" t="s">
        <v>39</v>
      </c>
      <c r="C1" s="15" t="s">
        <v>40</v>
      </c>
      <c r="D1" s="15" t="s">
        <v>41</v>
      </c>
    </row>
    <row r="2" spans="1:22" ht="109.5" customHeight="1" x14ac:dyDescent="0.35">
      <c r="A2" s="16" t="s">
        <v>37</v>
      </c>
      <c r="B2" s="16" t="s">
        <v>0</v>
      </c>
      <c r="C2" s="17">
        <v>44595</v>
      </c>
      <c r="D2" s="18" t="s">
        <v>42</v>
      </c>
      <c r="E2" s="48" t="s">
        <v>63</v>
      </c>
      <c r="F2" s="49"/>
      <c r="G2" s="49"/>
      <c r="H2" s="49"/>
      <c r="I2" s="49"/>
      <c r="J2" s="49"/>
      <c r="K2" s="49"/>
      <c r="L2" s="49"/>
      <c r="M2" s="49"/>
      <c r="N2" s="49"/>
      <c r="O2" s="49"/>
      <c r="P2" s="49"/>
      <c r="Q2" s="49"/>
      <c r="R2" s="49"/>
      <c r="S2" s="49"/>
      <c r="T2" s="49"/>
      <c r="U2" s="49"/>
      <c r="V2" s="49"/>
    </row>
    <row r="3" spans="1:22" s="14" customFormat="1" ht="110.25" customHeight="1" x14ac:dyDescent="0.35">
      <c r="A3" s="42" t="s">
        <v>178</v>
      </c>
      <c r="B3" s="42" t="s">
        <v>0</v>
      </c>
      <c r="C3" s="43">
        <v>45015</v>
      </c>
      <c r="D3" s="42" t="s">
        <v>179</v>
      </c>
      <c r="E3" s="48" t="s">
        <v>180</v>
      </c>
      <c r="F3" s="50"/>
      <c r="G3" s="50"/>
      <c r="H3" s="50"/>
      <c r="I3" s="50"/>
      <c r="J3" s="50"/>
      <c r="K3" s="50"/>
      <c r="L3" s="50"/>
      <c r="M3" s="50"/>
      <c r="N3" s="50"/>
      <c r="O3" s="50"/>
      <c r="P3" s="50"/>
      <c r="Q3" s="50"/>
      <c r="R3" s="50"/>
      <c r="S3" s="50"/>
      <c r="T3" s="50"/>
      <c r="U3" s="50"/>
      <c r="V3" s="50"/>
    </row>
    <row r="4" spans="1:22" x14ac:dyDescent="0.35">
      <c r="A4" s="2"/>
      <c r="B4" s="2"/>
      <c r="C4" s="2"/>
      <c r="D4" s="2"/>
    </row>
    <row r="5" spans="1:22" x14ac:dyDescent="0.35">
      <c r="A5" s="2"/>
      <c r="B5" s="2"/>
      <c r="C5" s="2"/>
      <c r="D5" s="2"/>
    </row>
    <row r="6" spans="1:22" x14ac:dyDescent="0.35">
      <c r="A6" s="2"/>
      <c r="B6" s="2"/>
      <c r="C6" s="2"/>
      <c r="D6" s="2"/>
    </row>
    <row r="7" spans="1:22" x14ac:dyDescent="0.35">
      <c r="A7" s="2"/>
      <c r="B7" s="2"/>
      <c r="C7" s="2"/>
      <c r="D7" s="2"/>
    </row>
    <row r="8" spans="1:22" x14ac:dyDescent="0.35">
      <c r="A8" s="2"/>
      <c r="B8" s="2"/>
      <c r="C8" s="2"/>
      <c r="D8" s="2"/>
    </row>
    <row r="9" spans="1:22" x14ac:dyDescent="0.35">
      <c r="A9" s="2"/>
      <c r="B9" s="2"/>
      <c r="C9" s="2"/>
      <c r="D9" s="2"/>
    </row>
    <row r="10" spans="1:22" x14ac:dyDescent="0.35">
      <c r="A10" s="2"/>
      <c r="B10" s="2"/>
      <c r="C10" s="2"/>
      <c r="D10" s="2"/>
    </row>
    <row r="11" spans="1:22" x14ac:dyDescent="0.35">
      <c r="A11" s="2"/>
      <c r="B11" s="2"/>
      <c r="C11" s="2"/>
      <c r="D11" s="2"/>
    </row>
    <row r="12" spans="1:22" x14ac:dyDescent="0.35">
      <c r="A12" s="2"/>
      <c r="B12" s="2"/>
      <c r="C12" s="2"/>
      <c r="D12" s="2"/>
    </row>
    <row r="13" spans="1:22" x14ac:dyDescent="0.35">
      <c r="A13" s="2"/>
      <c r="B13" s="2"/>
      <c r="C13" s="2"/>
      <c r="D13" s="2"/>
    </row>
    <row r="14" spans="1:22" x14ac:dyDescent="0.35">
      <c r="A14" s="2"/>
      <c r="B14" s="2"/>
      <c r="C14" s="2"/>
      <c r="D14" s="2"/>
    </row>
    <row r="15" spans="1:22" x14ac:dyDescent="0.35">
      <c r="A15" s="2"/>
      <c r="B15" s="2"/>
      <c r="C15" s="2"/>
      <c r="D15" s="2"/>
    </row>
    <row r="16" spans="1:22" x14ac:dyDescent="0.35">
      <c r="A16" s="2"/>
      <c r="B16" s="2"/>
      <c r="C16" s="2"/>
      <c r="D16" s="2"/>
    </row>
    <row r="17" spans="1:4" x14ac:dyDescent="0.35">
      <c r="A17" s="2"/>
      <c r="B17" s="2"/>
      <c r="C17" s="2"/>
      <c r="D17" s="2"/>
    </row>
    <row r="18" spans="1:4" x14ac:dyDescent="0.35">
      <c r="A18" s="2"/>
      <c r="B18" s="2"/>
      <c r="C18" s="2"/>
      <c r="D18" s="2"/>
    </row>
    <row r="19" spans="1:4" x14ac:dyDescent="0.35">
      <c r="A19" s="2"/>
      <c r="B19" s="2"/>
      <c r="C19" s="2"/>
      <c r="D19" s="2"/>
    </row>
    <row r="20" spans="1:4" x14ac:dyDescent="0.35">
      <c r="A20" s="2"/>
      <c r="B20" s="2"/>
      <c r="C20" s="2"/>
      <c r="D20" s="2"/>
    </row>
    <row r="21" spans="1:4" x14ac:dyDescent="0.35">
      <c r="A21" s="2"/>
      <c r="B21" s="2"/>
      <c r="C21" s="2"/>
      <c r="D21" s="2"/>
    </row>
    <row r="22" spans="1:4" x14ac:dyDescent="0.35">
      <c r="A22" s="2"/>
      <c r="B22" s="2"/>
      <c r="C22" s="2"/>
      <c r="D22" s="2"/>
    </row>
    <row r="23" spans="1:4" x14ac:dyDescent="0.35">
      <c r="A23" s="2"/>
      <c r="B23" s="2"/>
      <c r="C23" s="2"/>
      <c r="D23" s="2"/>
    </row>
    <row r="24" spans="1:4" x14ac:dyDescent="0.35">
      <c r="A24" s="2"/>
      <c r="B24" s="2"/>
      <c r="C24" s="2"/>
      <c r="D24" s="2"/>
    </row>
    <row r="25" spans="1:4" x14ac:dyDescent="0.35">
      <c r="A25" s="2"/>
      <c r="B25" s="2"/>
      <c r="C25" s="2"/>
      <c r="D25" s="2"/>
    </row>
  </sheetData>
  <mergeCells count="2">
    <mergeCell ref="E2:V2"/>
    <mergeCell ref="E3:V3"/>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tabColor rgb="FF92D050"/>
  </sheetPr>
  <dimension ref="A2:K24"/>
  <sheetViews>
    <sheetView workbookViewId="0">
      <selection activeCell="F15" sqref="F15"/>
    </sheetView>
  </sheetViews>
  <sheetFormatPr baseColWidth="10" defaultRowHeight="14.5" x14ac:dyDescent="0.35"/>
  <cols>
    <col min="1" max="1" width="16.453125" bestFit="1" customWidth="1"/>
    <col min="5" max="5" width="22.1796875" bestFit="1" customWidth="1"/>
    <col min="6" max="6" width="45.26953125" customWidth="1"/>
  </cols>
  <sheetData>
    <row r="2" spans="1:9" x14ac:dyDescent="0.35">
      <c r="F2" s="20"/>
    </row>
    <row r="3" spans="1:9" x14ac:dyDescent="0.35">
      <c r="F3" s="20"/>
    </row>
    <row r="4" spans="1:9" x14ac:dyDescent="0.35">
      <c r="H4" s="32"/>
    </row>
    <row r="5" spans="1:9" x14ac:dyDescent="0.35">
      <c r="H5" s="32"/>
    </row>
    <row r="6" spans="1:9" ht="15" thickBot="1" x14ac:dyDescent="0.4">
      <c r="H6" s="32"/>
    </row>
    <row r="7" spans="1:9" ht="15" thickBot="1" x14ac:dyDescent="0.4">
      <c r="A7" t="s">
        <v>176</v>
      </c>
      <c r="E7" s="51" t="s">
        <v>52</v>
      </c>
      <c r="F7" s="52"/>
      <c r="H7" s="32"/>
    </row>
    <row r="8" spans="1:9" x14ac:dyDescent="0.35">
      <c r="A8" s="33">
        <f>SEARCH(" ",F8,1)</f>
        <v>9</v>
      </c>
      <c r="E8" s="38" t="s">
        <v>54</v>
      </c>
      <c r="F8" s="39" t="s">
        <v>184</v>
      </c>
      <c r="I8" s="19"/>
    </row>
    <row r="9" spans="1:9" x14ac:dyDescent="0.35">
      <c r="E9" s="34" t="s">
        <v>55</v>
      </c>
      <c r="F9" s="35">
        <v>125878</v>
      </c>
    </row>
    <row r="10" spans="1:9" x14ac:dyDescent="0.35">
      <c r="E10" s="34" t="s">
        <v>43</v>
      </c>
      <c r="F10" s="35" t="s">
        <v>58</v>
      </c>
    </row>
    <row r="11" spans="1:9" x14ac:dyDescent="0.35">
      <c r="E11" s="34" t="s">
        <v>44</v>
      </c>
      <c r="F11" s="35" t="s">
        <v>59</v>
      </c>
    </row>
    <row r="12" spans="1:9" x14ac:dyDescent="0.35">
      <c r="E12" s="34" t="s">
        <v>45</v>
      </c>
      <c r="F12" s="35" t="s">
        <v>3</v>
      </c>
    </row>
    <row r="13" spans="1:9" x14ac:dyDescent="0.35">
      <c r="E13" s="34" t="s">
        <v>46</v>
      </c>
      <c r="F13" s="40">
        <v>21</v>
      </c>
    </row>
    <row r="14" spans="1:9" ht="15" thickBot="1" x14ac:dyDescent="0.4">
      <c r="E14" s="34" t="s">
        <v>47</v>
      </c>
      <c r="F14" s="37" t="s">
        <v>60</v>
      </c>
      <c r="G14" s="47" t="s">
        <v>181</v>
      </c>
      <c r="H14" s="22" t="s">
        <v>182</v>
      </c>
      <c r="I14" s="22" t="s">
        <v>183</v>
      </c>
    </row>
    <row r="15" spans="1:9" ht="15" thickBot="1" x14ac:dyDescent="0.4">
      <c r="E15" s="44" t="s">
        <v>48</v>
      </c>
      <c r="F15" s="46">
        <f>DATE(I15,H15,G15)</f>
        <v>44905</v>
      </c>
      <c r="G15" s="22">
        <v>10</v>
      </c>
      <c r="H15" s="22">
        <v>12</v>
      </c>
      <c r="I15" s="22">
        <v>2022</v>
      </c>
    </row>
    <row r="16" spans="1:9" x14ac:dyDescent="0.35">
      <c r="E16" s="34" t="s">
        <v>49</v>
      </c>
      <c r="F16" s="45" t="s">
        <v>185</v>
      </c>
    </row>
    <row r="17" spans="5:11" x14ac:dyDescent="0.35">
      <c r="E17" s="34" t="s">
        <v>50</v>
      </c>
      <c r="F17" s="35" t="s">
        <v>186</v>
      </c>
    </row>
    <row r="18" spans="5:11" ht="15" thickBot="1" x14ac:dyDescent="0.4">
      <c r="E18" s="36" t="s">
        <v>51</v>
      </c>
      <c r="F18" s="37" t="s">
        <v>187</v>
      </c>
    </row>
    <row r="24" spans="5:11" x14ac:dyDescent="0.35">
      <c r="J24" s="31"/>
      <c r="K24" t="s">
        <v>65</v>
      </c>
    </row>
  </sheetData>
  <sheetProtection selectLockedCells="1"/>
  <mergeCells count="1">
    <mergeCell ref="E7:F7"/>
  </mergeCells>
  <pageMargins left="0.7" right="0.7" top="0.75" bottom="0.75" header="0.3" footer="0.3"/>
  <drawing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Entrée!$R$5:$R$6</xm:f>
          </x14:formula1>
          <xm:sqref>F12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tabColor rgb="FFFFFF00"/>
  </sheetPr>
  <dimension ref="A1:W147"/>
  <sheetViews>
    <sheetView tabSelected="1" topLeftCell="E30" zoomScale="55" zoomScaleNormal="55" workbookViewId="0">
      <selection activeCell="N36" sqref="N36"/>
    </sheetView>
  </sheetViews>
  <sheetFormatPr baseColWidth="10" defaultRowHeight="14.5" x14ac:dyDescent="0.35"/>
  <cols>
    <col min="1" max="1" width="33.7265625" bestFit="1" customWidth="1"/>
    <col min="2" max="2" width="25.1796875" bestFit="1" customWidth="1"/>
    <col min="3" max="3" width="17" customWidth="1"/>
    <col min="6" max="6" width="14" bestFit="1" customWidth="1"/>
    <col min="7" max="7" width="14" customWidth="1"/>
    <col min="8" max="8" width="40.81640625" customWidth="1"/>
    <col min="9" max="9" width="14.26953125" bestFit="1" customWidth="1"/>
    <col min="10" max="10" width="22.453125" customWidth="1"/>
    <col min="11" max="11" width="26.81640625" customWidth="1"/>
    <col min="12" max="12" width="22.26953125" bestFit="1" customWidth="1"/>
    <col min="13" max="13" width="18.81640625" bestFit="1" customWidth="1"/>
    <col min="14" max="14" width="20.453125" bestFit="1" customWidth="1"/>
    <col min="18" max="18" width="12.453125" bestFit="1" customWidth="1"/>
  </cols>
  <sheetData>
    <row r="1" spans="1:23" hidden="1" x14ac:dyDescent="0.35">
      <c r="A1" t="s">
        <v>25</v>
      </c>
      <c r="B1">
        <v>8</v>
      </c>
      <c r="C1">
        <v>4</v>
      </c>
      <c r="H1" t="s">
        <v>53</v>
      </c>
      <c r="I1">
        <f>160-7-COUNTBLANK(B8:B147)</f>
        <v>119</v>
      </c>
    </row>
    <row r="2" spans="1:23" hidden="1" x14ac:dyDescent="0.35">
      <c r="A2" t="s">
        <v>26</v>
      </c>
      <c r="B2">
        <f>LEN(B3)</f>
        <v>8</v>
      </c>
      <c r="C2">
        <v>10</v>
      </c>
    </row>
    <row r="3" spans="1:23" x14ac:dyDescent="0.35">
      <c r="A3" s="26" t="s">
        <v>13</v>
      </c>
      <c r="B3" s="28" t="s">
        <v>1</v>
      </c>
      <c r="C3" s="29">
        <f ca="1">TODAY()</f>
        <v>45028</v>
      </c>
      <c r="D3" s="28" t="s">
        <v>2</v>
      </c>
    </row>
    <row r="4" spans="1:23" x14ac:dyDescent="0.35">
      <c r="B4" s="28" t="s">
        <v>57</v>
      </c>
      <c r="C4" s="28" t="str">
        <f>"Date du jour"</f>
        <v>Date du jour</v>
      </c>
      <c r="D4" s="28">
        <v>0.35</v>
      </c>
      <c r="S4" t="s">
        <v>3</v>
      </c>
    </row>
    <row r="5" spans="1:23" ht="30" hidden="1" customHeight="1" x14ac:dyDescent="0.35">
      <c r="A5" t="s">
        <v>25</v>
      </c>
      <c r="B5">
        <f>LEN(B6)+1</f>
        <v>1</v>
      </c>
      <c r="C5">
        <f>LEN(C6)+1</f>
        <v>10</v>
      </c>
      <c r="D5">
        <f>LEN(D6)+1</f>
        <v>42</v>
      </c>
      <c r="E5">
        <f>LEN(E6)</f>
        <v>17</v>
      </c>
      <c r="G5">
        <f>LEN(G6)+1</f>
        <v>86</v>
      </c>
      <c r="H5">
        <f>LEN(H6)</f>
        <v>56</v>
      </c>
      <c r="I5">
        <f>LEN(I6)+1</f>
        <v>24</v>
      </c>
      <c r="J5">
        <f>LEN(J6)+1</f>
        <v>139</v>
      </c>
      <c r="K5">
        <f>LEN(K6)</f>
        <v>57</v>
      </c>
      <c r="L5">
        <f>LEN(L6)+1</f>
        <v>1</v>
      </c>
      <c r="S5" t="s">
        <v>4</v>
      </c>
    </row>
    <row r="6" spans="1:23" ht="24.75" customHeight="1" x14ac:dyDescent="0.35">
      <c r="A6" s="68" t="s">
        <v>56</v>
      </c>
      <c r="B6" s="27" t="str">
        <f>""</f>
        <v/>
      </c>
      <c r="C6" s="27" t="str">
        <f>"Affaire: "</f>
        <v xml:space="preserve">Affaire: </v>
      </c>
      <c r="D6" s="27" t="str">
        <f>"Veuillez noter de vous rendre chez notre "</f>
        <v xml:space="preserve">Veuillez noter de vous rendre chez notre </v>
      </c>
      <c r="E6" s="27" t="str">
        <f>", sur le site de "</f>
        <v xml:space="preserve">, sur le site de </v>
      </c>
      <c r="F6" s="27" t="str">
        <f>""</f>
        <v/>
      </c>
      <c r="G6" s="27" t="str">
        <f>"Vous bénéficiez de frais de déplacement dans le cadre de cette mission de l’ordre de "</f>
        <v xml:space="preserve">Vous bénéficiez de frais de déplacement dans le cadre de cette mission de l’ordre de </v>
      </c>
      <c r="H6" s="27" t="str">
        <f>", pour une intervention, afin d’y effectuer des travaux "</f>
        <v xml:space="preserve">, pour une intervention, afin d’y effectuer des travaux </v>
      </c>
      <c r="I6" s="27" t="str">
        <f>"Début des travaux : le "</f>
        <v xml:space="preserve">Début des travaux : le </v>
      </c>
      <c r="J6" s="27" t="str">
        <f>"Durant cette période, vous resterez expressément sous la responsabilité hiérarchique et technique de l’encadrement ECM, en la personne de "</f>
        <v xml:space="preserve">Durant cette période, vous resterez expressément sous la responsabilité hiérarchique et technique de l’encadrement ECM, en la personne de </v>
      </c>
      <c r="K6" s="27" t="str">
        <f>" et votre responsable d’activité pour cette mission sera "</f>
        <v xml:space="preserve"> et votre responsable d’activité pour cette mission sera </v>
      </c>
      <c r="L6" s="27" t="str">
        <f>""</f>
        <v/>
      </c>
    </row>
    <row r="7" spans="1:23" ht="35.25" customHeight="1" x14ac:dyDescent="0.35">
      <c r="A7" s="69"/>
      <c r="B7" s="28" t="s">
        <v>14</v>
      </c>
      <c r="C7" s="28" t="s">
        <v>15</v>
      </c>
      <c r="D7" s="28" t="s">
        <v>16</v>
      </c>
      <c r="E7" s="28" t="s">
        <v>31</v>
      </c>
      <c r="F7" s="28" t="s">
        <v>17</v>
      </c>
      <c r="G7" s="28" t="s">
        <v>18</v>
      </c>
      <c r="H7" s="28" t="s">
        <v>19</v>
      </c>
      <c r="I7" s="28" t="s">
        <v>20</v>
      </c>
      <c r="J7" s="28" t="s">
        <v>21</v>
      </c>
      <c r="K7" s="28" t="s">
        <v>27</v>
      </c>
      <c r="L7" s="28" t="s">
        <v>22</v>
      </c>
      <c r="N7" s="10"/>
    </row>
    <row r="8" spans="1:23" x14ac:dyDescent="0.35">
      <c r="A8" s="21" t="s">
        <v>3</v>
      </c>
      <c r="B8" s="41" t="s">
        <v>177</v>
      </c>
      <c r="C8" s="22">
        <v>125878</v>
      </c>
      <c r="D8" s="22" t="s">
        <v>58</v>
      </c>
      <c r="E8" s="22" t="s">
        <v>59</v>
      </c>
      <c r="F8" s="23" t="s">
        <v>3</v>
      </c>
      <c r="G8" s="25">
        <v>21</v>
      </c>
      <c r="H8" s="22" t="s">
        <v>60</v>
      </c>
      <c r="I8" s="24">
        <v>44563</v>
      </c>
      <c r="J8" s="22" t="s">
        <v>61</v>
      </c>
      <c r="K8" s="22" t="s">
        <v>62</v>
      </c>
      <c r="L8" s="22" t="s">
        <v>64</v>
      </c>
      <c r="W8" s="33"/>
    </row>
    <row r="9" spans="1:23" x14ac:dyDescent="0.35">
      <c r="A9" s="21" t="s">
        <v>3</v>
      </c>
      <c r="B9" s="41" t="s">
        <v>66</v>
      </c>
      <c r="C9" s="22">
        <v>102179</v>
      </c>
      <c r="D9" s="22" t="s">
        <v>168</v>
      </c>
      <c r="E9" s="22" t="s">
        <v>1</v>
      </c>
      <c r="F9" s="23" t="s">
        <v>4</v>
      </c>
      <c r="G9" s="30">
        <v>21</v>
      </c>
      <c r="H9" s="22" t="s">
        <v>60</v>
      </c>
      <c r="I9" s="24">
        <v>44564</v>
      </c>
      <c r="J9" s="22" t="s">
        <v>173</v>
      </c>
      <c r="K9" s="22" t="s">
        <v>171</v>
      </c>
      <c r="L9" s="22" t="s">
        <v>174</v>
      </c>
      <c r="W9" s="33"/>
    </row>
    <row r="10" spans="1:23" x14ac:dyDescent="0.35">
      <c r="A10" s="21" t="s">
        <v>3</v>
      </c>
      <c r="B10" s="41" t="s">
        <v>67</v>
      </c>
      <c r="C10" s="22">
        <v>102179</v>
      </c>
      <c r="D10" s="22" t="s">
        <v>168</v>
      </c>
      <c r="E10" s="22" t="s">
        <v>1</v>
      </c>
      <c r="F10" s="23" t="s">
        <v>4</v>
      </c>
      <c r="G10" s="30"/>
      <c r="H10" s="22" t="s">
        <v>169</v>
      </c>
      <c r="I10" s="24">
        <v>44564</v>
      </c>
      <c r="J10" s="22" t="s">
        <v>173</v>
      </c>
      <c r="K10" s="22" t="s">
        <v>171</v>
      </c>
      <c r="L10" s="22" t="s">
        <v>174</v>
      </c>
      <c r="W10" s="33"/>
    </row>
    <row r="11" spans="1:23" x14ac:dyDescent="0.35">
      <c r="A11" s="21" t="s">
        <v>3</v>
      </c>
      <c r="B11" s="41" t="s">
        <v>68</v>
      </c>
      <c r="C11" s="22">
        <v>102179</v>
      </c>
      <c r="D11" s="22" t="s">
        <v>168</v>
      </c>
      <c r="E11" s="22" t="s">
        <v>1</v>
      </c>
      <c r="F11" s="23" t="s">
        <v>4</v>
      </c>
      <c r="G11" s="30"/>
      <c r="H11" s="22" t="s">
        <v>169</v>
      </c>
      <c r="I11" s="24">
        <v>44564</v>
      </c>
      <c r="J11" s="22" t="s">
        <v>173</v>
      </c>
      <c r="K11" s="22" t="s">
        <v>171</v>
      </c>
      <c r="L11" s="22" t="s">
        <v>174</v>
      </c>
      <c r="W11" s="33"/>
    </row>
    <row r="12" spans="1:23" x14ac:dyDescent="0.35">
      <c r="A12" s="21" t="s">
        <v>3</v>
      </c>
      <c r="B12" s="41" t="s">
        <v>69</v>
      </c>
      <c r="C12" s="22">
        <v>102179</v>
      </c>
      <c r="D12" s="22" t="s">
        <v>168</v>
      </c>
      <c r="E12" s="22" t="s">
        <v>1</v>
      </c>
      <c r="F12" s="23" t="s">
        <v>3</v>
      </c>
      <c r="G12" s="25">
        <v>12</v>
      </c>
      <c r="H12" s="22" t="s">
        <v>169</v>
      </c>
      <c r="I12" s="24">
        <v>44564</v>
      </c>
      <c r="J12" s="22" t="s">
        <v>173</v>
      </c>
      <c r="K12" s="22" t="s">
        <v>171</v>
      </c>
      <c r="L12" s="22" t="s">
        <v>174</v>
      </c>
      <c r="W12" s="33"/>
    </row>
    <row r="13" spans="1:23" x14ac:dyDescent="0.35">
      <c r="A13" s="21" t="s">
        <v>3</v>
      </c>
      <c r="B13" s="41" t="s">
        <v>70</v>
      </c>
      <c r="C13" s="22">
        <v>102179</v>
      </c>
      <c r="D13" s="22" t="s">
        <v>168</v>
      </c>
      <c r="E13" s="22" t="s">
        <v>1</v>
      </c>
      <c r="F13" s="23" t="s">
        <v>3</v>
      </c>
      <c r="G13" s="25">
        <v>5</v>
      </c>
      <c r="H13" s="22" t="s">
        <v>169</v>
      </c>
      <c r="I13" s="24">
        <v>44564</v>
      </c>
      <c r="J13" s="22" t="s">
        <v>173</v>
      </c>
      <c r="K13" s="22" t="s">
        <v>171</v>
      </c>
      <c r="L13" s="22" t="s">
        <v>174</v>
      </c>
      <c r="W13" s="33"/>
    </row>
    <row r="14" spans="1:23" x14ac:dyDescent="0.35">
      <c r="A14" s="21" t="s">
        <v>3</v>
      </c>
      <c r="B14" s="41" t="s">
        <v>71</v>
      </c>
      <c r="C14" s="22">
        <v>102179</v>
      </c>
      <c r="D14" s="22" t="s">
        <v>168</v>
      </c>
      <c r="E14" s="22" t="s">
        <v>1</v>
      </c>
      <c r="F14" s="23" t="s">
        <v>3</v>
      </c>
      <c r="G14" s="25">
        <v>4</v>
      </c>
      <c r="H14" s="22" t="s">
        <v>170</v>
      </c>
      <c r="I14" s="24">
        <v>44564</v>
      </c>
      <c r="J14" s="22" t="s">
        <v>173</v>
      </c>
      <c r="K14" s="22" t="s">
        <v>171</v>
      </c>
      <c r="L14" s="22" t="s">
        <v>174</v>
      </c>
      <c r="W14" s="33"/>
    </row>
    <row r="15" spans="1:23" x14ac:dyDescent="0.35">
      <c r="A15" s="21" t="s">
        <v>3</v>
      </c>
      <c r="B15" s="41" t="s">
        <v>72</v>
      </c>
      <c r="C15" s="22">
        <v>102179</v>
      </c>
      <c r="D15" s="22" t="s">
        <v>168</v>
      </c>
      <c r="E15" s="22" t="s">
        <v>1</v>
      </c>
      <c r="F15" s="23" t="s">
        <v>3</v>
      </c>
      <c r="G15" s="25">
        <v>10</v>
      </c>
      <c r="H15" s="22" t="s">
        <v>170</v>
      </c>
      <c r="I15" s="24">
        <v>44564</v>
      </c>
      <c r="J15" s="22" t="s">
        <v>173</v>
      </c>
      <c r="K15" s="22" t="s">
        <v>171</v>
      </c>
      <c r="L15" s="22" t="s">
        <v>174</v>
      </c>
      <c r="W15" s="33"/>
    </row>
    <row r="16" spans="1:23" x14ac:dyDescent="0.35">
      <c r="A16" s="21" t="s">
        <v>3</v>
      </c>
      <c r="B16" s="41" t="s">
        <v>73</v>
      </c>
      <c r="C16" s="22">
        <v>102179</v>
      </c>
      <c r="D16" s="22" t="s">
        <v>168</v>
      </c>
      <c r="E16" s="22" t="s">
        <v>1</v>
      </c>
      <c r="F16" s="23" t="s">
        <v>4</v>
      </c>
      <c r="G16" s="30"/>
      <c r="H16" s="22" t="s">
        <v>170</v>
      </c>
      <c r="I16" s="24">
        <v>44564</v>
      </c>
      <c r="J16" s="22" t="s">
        <v>173</v>
      </c>
      <c r="K16" s="22" t="s">
        <v>171</v>
      </c>
      <c r="L16" s="22" t="s">
        <v>174</v>
      </c>
      <c r="W16" s="33"/>
    </row>
    <row r="17" spans="1:23" x14ac:dyDescent="0.35">
      <c r="A17" s="21" t="s">
        <v>3</v>
      </c>
      <c r="B17" s="41" t="s">
        <v>74</v>
      </c>
      <c r="C17" s="22">
        <v>102179</v>
      </c>
      <c r="D17" s="22" t="s">
        <v>168</v>
      </c>
      <c r="E17" s="22" t="s">
        <v>1</v>
      </c>
      <c r="F17" s="23" t="s">
        <v>4</v>
      </c>
      <c r="G17" s="30"/>
      <c r="H17" s="22" t="s">
        <v>170</v>
      </c>
      <c r="I17" s="24">
        <v>44564</v>
      </c>
      <c r="J17" s="22" t="s">
        <v>173</v>
      </c>
      <c r="K17" s="22" t="s">
        <v>171</v>
      </c>
      <c r="L17" s="22" t="s">
        <v>174</v>
      </c>
      <c r="W17" s="33"/>
    </row>
    <row r="18" spans="1:23" x14ac:dyDescent="0.35">
      <c r="A18" s="21" t="s">
        <v>3</v>
      </c>
      <c r="B18" s="41" t="s">
        <v>75</v>
      </c>
      <c r="C18" s="22">
        <v>102179</v>
      </c>
      <c r="D18" s="22" t="s">
        <v>168</v>
      </c>
      <c r="E18" s="22" t="s">
        <v>1</v>
      </c>
      <c r="F18" s="23" t="s">
        <v>4</v>
      </c>
      <c r="G18" s="30"/>
      <c r="H18" s="22" t="s">
        <v>170</v>
      </c>
      <c r="I18" s="24">
        <v>44564</v>
      </c>
      <c r="J18" s="22" t="s">
        <v>173</v>
      </c>
      <c r="K18" s="22" t="s">
        <v>171</v>
      </c>
      <c r="L18" s="22" t="s">
        <v>174</v>
      </c>
      <c r="W18" s="33"/>
    </row>
    <row r="19" spans="1:23" x14ac:dyDescent="0.35">
      <c r="A19" s="21" t="s">
        <v>3</v>
      </c>
      <c r="B19" s="41" t="s">
        <v>76</v>
      </c>
      <c r="C19" s="22">
        <v>102179</v>
      </c>
      <c r="D19" s="22" t="s">
        <v>168</v>
      </c>
      <c r="E19" s="22" t="s">
        <v>1</v>
      </c>
      <c r="F19" s="23" t="s">
        <v>4</v>
      </c>
      <c r="G19" s="30"/>
      <c r="H19" s="22" t="s">
        <v>170</v>
      </c>
      <c r="I19" s="24">
        <v>44564</v>
      </c>
      <c r="J19" s="22" t="s">
        <v>173</v>
      </c>
      <c r="K19" s="22" t="s">
        <v>171</v>
      </c>
      <c r="L19" s="22" t="s">
        <v>174</v>
      </c>
      <c r="W19" s="33"/>
    </row>
    <row r="20" spans="1:23" x14ac:dyDescent="0.35">
      <c r="A20" s="21" t="s">
        <v>3</v>
      </c>
      <c r="B20" s="41" t="s">
        <v>77</v>
      </c>
      <c r="C20" s="22">
        <v>102179</v>
      </c>
      <c r="D20" s="22" t="s">
        <v>168</v>
      </c>
      <c r="E20" s="22" t="s">
        <v>1</v>
      </c>
      <c r="F20" s="23" t="s">
        <v>4</v>
      </c>
      <c r="G20" s="30"/>
      <c r="H20" s="22" t="s">
        <v>170</v>
      </c>
      <c r="I20" s="24">
        <v>44564</v>
      </c>
      <c r="J20" s="22" t="s">
        <v>173</v>
      </c>
      <c r="K20" s="22" t="s">
        <v>171</v>
      </c>
      <c r="L20" s="22" t="s">
        <v>174</v>
      </c>
      <c r="W20" s="33"/>
    </row>
    <row r="21" spans="1:23" x14ac:dyDescent="0.35">
      <c r="A21" s="21" t="s">
        <v>3</v>
      </c>
      <c r="B21" s="41" t="s">
        <v>78</v>
      </c>
      <c r="C21" s="22">
        <v>102179</v>
      </c>
      <c r="D21" s="22" t="s">
        <v>168</v>
      </c>
      <c r="E21" s="22" t="s">
        <v>1</v>
      </c>
      <c r="F21" s="23" t="s">
        <v>4</v>
      </c>
      <c r="G21" s="30"/>
      <c r="H21" s="22" t="s">
        <v>170</v>
      </c>
      <c r="I21" s="24">
        <v>44564</v>
      </c>
      <c r="J21" s="22" t="s">
        <v>173</v>
      </c>
      <c r="K21" s="22" t="s">
        <v>171</v>
      </c>
      <c r="L21" s="22" t="s">
        <v>174</v>
      </c>
      <c r="W21" s="33"/>
    </row>
    <row r="22" spans="1:23" x14ac:dyDescent="0.35">
      <c r="A22" s="21" t="s">
        <v>3</v>
      </c>
      <c r="B22" s="41" t="s">
        <v>79</v>
      </c>
      <c r="C22" s="22">
        <v>102179</v>
      </c>
      <c r="D22" s="22" t="s">
        <v>168</v>
      </c>
      <c r="E22" s="22" t="s">
        <v>1</v>
      </c>
      <c r="F22" s="23" t="s">
        <v>4</v>
      </c>
      <c r="G22" s="30"/>
      <c r="H22" s="22" t="s">
        <v>170</v>
      </c>
      <c r="I22" s="24">
        <v>44564</v>
      </c>
      <c r="J22" s="22" t="s">
        <v>173</v>
      </c>
      <c r="K22" s="22" t="s">
        <v>171</v>
      </c>
      <c r="L22" s="22" t="s">
        <v>174</v>
      </c>
      <c r="W22" s="33"/>
    </row>
    <row r="23" spans="1:23" x14ac:dyDescent="0.35">
      <c r="A23" s="21" t="s">
        <v>3</v>
      </c>
      <c r="B23" s="41" t="s">
        <v>80</v>
      </c>
      <c r="C23" s="22">
        <v>102179</v>
      </c>
      <c r="D23" s="22" t="s">
        <v>168</v>
      </c>
      <c r="E23" s="22" t="s">
        <v>1</v>
      </c>
      <c r="F23" s="23" t="s">
        <v>4</v>
      </c>
      <c r="G23" s="30"/>
      <c r="H23" s="22" t="s">
        <v>170</v>
      </c>
      <c r="I23" s="24">
        <v>44564</v>
      </c>
      <c r="J23" s="22" t="s">
        <v>173</v>
      </c>
      <c r="K23" s="22" t="s">
        <v>171</v>
      </c>
      <c r="L23" s="22" t="s">
        <v>174</v>
      </c>
      <c r="W23" s="33"/>
    </row>
    <row r="24" spans="1:23" x14ac:dyDescent="0.35">
      <c r="A24" s="21" t="s">
        <v>3</v>
      </c>
      <c r="B24" s="41" t="s">
        <v>81</v>
      </c>
      <c r="C24" s="22">
        <v>102179</v>
      </c>
      <c r="D24" s="22" t="s">
        <v>168</v>
      </c>
      <c r="E24" s="22" t="s">
        <v>1</v>
      </c>
      <c r="F24" s="23" t="s">
        <v>4</v>
      </c>
      <c r="G24" s="30"/>
      <c r="H24" s="22" t="s">
        <v>170</v>
      </c>
      <c r="I24" s="24">
        <v>44564</v>
      </c>
      <c r="J24" s="22" t="s">
        <v>173</v>
      </c>
      <c r="K24" s="22" t="s">
        <v>171</v>
      </c>
      <c r="L24" s="22" t="s">
        <v>174</v>
      </c>
      <c r="W24" s="33"/>
    </row>
    <row r="25" spans="1:23" x14ac:dyDescent="0.35">
      <c r="A25" s="21" t="s">
        <v>3</v>
      </c>
      <c r="B25" s="41" t="s">
        <v>82</v>
      </c>
      <c r="C25" s="22">
        <v>102179</v>
      </c>
      <c r="D25" s="22" t="s">
        <v>168</v>
      </c>
      <c r="E25" s="22" t="s">
        <v>1</v>
      </c>
      <c r="F25" s="23" t="s">
        <v>4</v>
      </c>
      <c r="G25" s="30"/>
      <c r="H25" s="22" t="s">
        <v>170</v>
      </c>
      <c r="I25" s="24">
        <v>44564</v>
      </c>
      <c r="J25" s="22" t="s">
        <v>173</v>
      </c>
      <c r="K25" s="22" t="s">
        <v>171</v>
      </c>
      <c r="L25" s="22" t="s">
        <v>174</v>
      </c>
      <c r="W25" s="33"/>
    </row>
    <row r="26" spans="1:23" x14ac:dyDescent="0.35">
      <c r="A26" s="21" t="s">
        <v>3</v>
      </c>
      <c r="B26" s="41" t="s">
        <v>83</v>
      </c>
      <c r="C26" s="22">
        <v>102179</v>
      </c>
      <c r="D26" s="22" t="s">
        <v>168</v>
      </c>
      <c r="E26" s="22" t="s">
        <v>1</v>
      </c>
      <c r="F26" s="23" t="s">
        <v>4</v>
      </c>
      <c r="G26" s="30"/>
      <c r="H26" s="22" t="s">
        <v>170</v>
      </c>
      <c r="I26" s="24">
        <v>44564</v>
      </c>
      <c r="J26" s="22" t="s">
        <v>173</v>
      </c>
      <c r="K26" s="22" t="s">
        <v>171</v>
      </c>
      <c r="L26" s="22" t="s">
        <v>174</v>
      </c>
      <c r="W26" s="33"/>
    </row>
    <row r="27" spans="1:23" x14ac:dyDescent="0.35">
      <c r="A27" s="21" t="s">
        <v>3</v>
      </c>
      <c r="B27" s="41" t="s">
        <v>84</v>
      </c>
      <c r="C27" s="22">
        <v>102179</v>
      </c>
      <c r="D27" s="22" t="s">
        <v>168</v>
      </c>
      <c r="E27" s="22" t="s">
        <v>1</v>
      </c>
      <c r="F27" s="23" t="s">
        <v>4</v>
      </c>
      <c r="G27" s="30"/>
      <c r="H27" s="22" t="s">
        <v>170</v>
      </c>
      <c r="I27" s="24">
        <v>44564</v>
      </c>
      <c r="J27" s="22" t="s">
        <v>173</v>
      </c>
      <c r="K27" s="22" t="s">
        <v>171</v>
      </c>
      <c r="L27" s="22" t="s">
        <v>174</v>
      </c>
      <c r="W27" s="33"/>
    </row>
    <row r="28" spans="1:23" x14ac:dyDescent="0.35">
      <c r="A28" s="21" t="s">
        <v>3</v>
      </c>
      <c r="B28" s="41" t="s">
        <v>85</v>
      </c>
      <c r="C28" s="22">
        <v>102179</v>
      </c>
      <c r="D28" s="22" t="s">
        <v>168</v>
      </c>
      <c r="E28" s="22" t="s">
        <v>1</v>
      </c>
      <c r="F28" s="23" t="s">
        <v>3</v>
      </c>
      <c r="G28" s="25">
        <v>12</v>
      </c>
      <c r="H28" s="22" t="s">
        <v>170</v>
      </c>
      <c r="I28" s="24">
        <v>44564</v>
      </c>
      <c r="J28" s="22" t="s">
        <v>173</v>
      </c>
      <c r="K28" s="22" t="s">
        <v>171</v>
      </c>
      <c r="L28" s="22" t="s">
        <v>174</v>
      </c>
      <c r="W28" s="33"/>
    </row>
    <row r="29" spans="1:23" x14ac:dyDescent="0.35">
      <c r="A29" s="21" t="s">
        <v>3</v>
      </c>
      <c r="B29" s="41" t="s">
        <v>86</v>
      </c>
      <c r="C29" s="22">
        <v>102179</v>
      </c>
      <c r="D29" s="22" t="s">
        <v>168</v>
      </c>
      <c r="E29" s="22" t="s">
        <v>1</v>
      </c>
      <c r="F29" s="23" t="s">
        <v>3</v>
      </c>
      <c r="G29" s="25">
        <v>5</v>
      </c>
      <c r="H29" s="22" t="s">
        <v>170</v>
      </c>
      <c r="I29" s="24">
        <v>44564</v>
      </c>
      <c r="J29" s="22" t="s">
        <v>173</v>
      </c>
      <c r="K29" s="22" t="s">
        <v>171</v>
      </c>
      <c r="L29" s="22" t="s">
        <v>174</v>
      </c>
      <c r="W29" s="33"/>
    </row>
    <row r="30" spans="1:23" x14ac:dyDescent="0.35">
      <c r="A30" s="21" t="s">
        <v>3</v>
      </c>
      <c r="B30" s="41" t="s">
        <v>87</v>
      </c>
      <c r="C30" s="22">
        <v>102179</v>
      </c>
      <c r="D30" s="22" t="s">
        <v>168</v>
      </c>
      <c r="E30" s="22" t="s">
        <v>1</v>
      </c>
      <c r="F30" s="23" t="s">
        <v>3</v>
      </c>
      <c r="G30" s="25">
        <v>4</v>
      </c>
      <c r="H30" s="22" t="s">
        <v>170</v>
      </c>
      <c r="I30" s="24">
        <v>44564</v>
      </c>
      <c r="J30" s="22" t="s">
        <v>173</v>
      </c>
      <c r="K30" s="22" t="s">
        <v>171</v>
      </c>
      <c r="L30" s="22" t="s">
        <v>174</v>
      </c>
      <c r="W30" s="33"/>
    </row>
    <row r="31" spans="1:23" x14ac:dyDescent="0.35">
      <c r="A31" s="21" t="s">
        <v>3</v>
      </c>
      <c r="B31" s="41" t="s">
        <v>88</v>
      </c>
      <c r="C31" s="22">
        <v>102179</v>
      </c>
      <c r="D31" s="22" t="s">
        <v>168</v>
      </c>
      <c r="E31" s="22" t="s">
        <v>1</v>
      </c>
      <c r="F31" s="23" t="s">
        <v>3</v>
      </c>
      <c r="G31" s="25">
        <v>10</v>
      </c>
      <c r="H31" s="22" t="s">
        <v>170</v>
      </c>
      <c r="I31" s="24">
        <v>44564</v>
      </c>
      <c r="J31" s="22" t="s">
        <v>173</v>
      </c>
      <c r="K31" s="22" t="s">
        <v>171</v>
      </c>
      <c r="L31" s="22" t="s">
        <v>174</v>
      </c>
      <c r="W31" s="33"/>
    </row>
    <row r="32" spans="1:23" x14ac:dyDescent="0.35">
      <c r="A32" s="21" t="s">
        <v>3</v>
      </c>
      <c r="B32" s="41" t="s">
        <v>89</v>
      </c>
      <c r="C32" s="22">
        <v>102179</v>
      </c>
      <c r="D32" s="22" t="s">
        <v>168</v>
      </c>
      <c r="E32" s="22" t="s">
        <v>1</v>
      </c>
      <c r="F32" s="23" t="s">
        <v>4</v>
      </c>
      <c r="G32" s="30"/>
      <c r="H32" s="22" t="s">
        <v>170</v>
      </c>
      <c r="I32" s="24">
        <v>44564</v>
      </c>
      <c r="J32" s="22" t="s">
        <v>173</v>
      </c>
      <c r="K32" s="22" t="s">
        <v>171</v>
      </c>
      <c r="L32" s="22" t="s">
        <v>174</v>
      </c>
      <c r="W32" s="33"/>
    </row>
    <row r="33" spans="1:23" x14ac:dyDescent="0.35">
      <c r="A33" s="21" t="s">
        <v>3</v>
      </c>
      <c r="B33" s="41" t="s">
        <v>90</v>
      </c>
      <c r="C33" s="22">
        <v>102067</v>
      </c>
      <c r="D33" s="22" t="s">
        <v>168</v>
      </c>
      <c r="E33" s="22" t="s">
        <v>1</v>
      </c>
      <c r="F33" s="23" t="s">
        <v>4</v>
      </c>
      <c r="G33" s="30"/>
      <c r="H33" s="22" t="s">
        <v>170</v>
      </c>
      <c r="I33" s="24">
        <v>44564</v>
      </c>
      <c r="J33" s="22" t="s">
        <v>173</v>
      </c>
      <c r="K33" s="22" t="s">
        <v>171</v>
      </c>
      <c r="L33" s="22" t="s">
        <v>174</v>
      </c>
      <c r="W33" s="33"/>
    </row>
    <row r="34" spans="1:23" x14ac:dyDescent="0.35">
      <c r="A34" s="21" t="s">
        <v>3</v>
      </c>
      <c r="B34" s="41" t="s">
        <v>91</v>
      </c>
      <c r="C34" s="22">
        <v>204238</v>
      </c>
      <c r="D34" s="22" t="s">
        <v>168</v>
      </c>
      <c r="E34" s="22" t="s">
        <v>1</v>
      </c>
      <c r="F34" s="23" t="s">
        <v>4</v>
      </c>
      <c r="G34" s="30"/>
      <c r="H34" s="22" t="s">
        <v>170</v>
      </c>
      <c r="I34" s="24">
        <v>44564</v>
      </c>
      <c r="J34" s="22" t="s">
        <v>173</v>
      </c>
      <c r="K34" s="22" t="s">
        <v>171</v>
      </c>
      <c r="L34" s="22" t="s">
        <v>174</v>
      </c>
      <c r="W34" s="33"/>
    </row>
    <row r="35" spans="1:23" x14ac:dyDescent="0.35">
      <c r="A35" s="21" t="s">
        <v>3</v>
      </c>
      <c r="B35" s="41" t="s">
        <v>92</v>
      </c>
      <c r="C35" s="22">
        <v>102067</v>
      </c>
      <c r="D35" s="22" t="s">
        <v>168</v>
      </c>
      <c r="E35" s="22" t="s">
        <v>1</v>
      </c>
      <c r="F35" s="23" t="s">
        <v>4</v>
      </c>
      <c r="G35" s="30"/>
      <c r="H35" s="22" t="s">
        <v>170</v>
      </c>
      <c r="I35" s="24">
        <v>44564</v>
      </c>
      <c r="J35" s="22" t="s">
        <v>173</v>
      </c>
      <c r="K35" s="22" t="s">
        <v>171</v>
      </c>
      <c r="L35" s="22" t="s">
        <v>174</v>
      </c>
      <c r="W35" s="33"/>
    </row>
    <row r="36" spans="1:23" x14ac:dyDescent="0.35">
      <c r="A36" s="21" t="s">
        <v>3</v>
      </c>
      <c r="B36" s="41" t="s">
        <v>93</v>
      </c>
      <c r="C36" s="22">
        <v>102053</v>
      </c>
      <c r="D36" s="22" t="s">
        <v>168</v>
      </c>
      <c r="E36" s="22" t="s">
        <v>1</v>
      </c>
      <c r="F36" s="23" t="s">
        <v>3</v>
      </c>
      <c r="G36" s="25">
        <v>12</v>
      </c>
      <c r="H36" s="22" t="s">
        <v>170</v>
      </c>
      <c r="I36" s="24">
        <v>44564</v>
      </c>
      <c r="J36" s="22" t="s">
        <v>173</v>
      </c>
      <c r="K36" s="22" t="s">
        <v>171</v>
      </c>
      <c r="L36" s="22" t="s">
        <v>174</v>
      </c>
      <c r="W36" s="33"/>
    </row>
    <row r="37" spans="1:23" x14ac:dyDescent="0.35">
      <c r="A37" s="21" t="s">
        <v>3</v>
      </c>
      <c r="B37" s="41" t="s">
        <v>94</v>
      </c>
      <c r="C37" s="22">
        <v>102067</v>
      </c>
      <c r="D37" s="22" t="s">
        <v>168</v>
      </c>
      <c r="E37" s="22" t="s">
        <v>1</v>
      </c>
      <c r="F37" s="23" t="s">
        <v>3</v>
      </c>
      <c r="G37" s="25">
        <v>5</v>
      </c>
      <c r="H37" s="22" t="s">
        <v>170</v>
      </c>
      <c r="I37" s="24">
        <v>44564</v>
      </c>
      <c r="J37" s="22" t="s">
        <v>173</v>
      </c>
      <c r="K37" s="22" t="s">
        <v>171</v>
      </c>
      <c r="L37" s="22" t="s">
        <v>174</v>
      </c>
      <c r="W37" s="33"/>
    </row>
    <row r="38" spans="1:23" x14ac:dyDescent="0.35">
      <c r="A38" s="21" t="s">
        <v>3</v>
      </c>
      <c r="B38" s="41" t="s">
        <v>95</v>
      </c>
      <c r="C38" s="22">
        <v>204238</v>
      </c>
      <c r="D38" s="22" t="s">
        <v>168</v>
      </c>
      <c r="E38" s="22" t="s">
        <v>1</v>
      </c>
      <c r="F38" s="23" t="s">
        <v>3</v>
      </c>
      <c r="G38" s="25">
        <v>4</v>
      </c>
      <c r="H38" s="22" t="s">
        <v>170</v>
      </c>
      <c r="I38" s="24">
        <v>44564</v>
      </c>
      <c r="J38" s="22" t="s">
        <v>173</v>
      </c>
      <c r="K38" s="22" t="s">
        <v>171</v>
      </c>
      <c r="L38" s="22" t="s">
        <v>174</v>
      </c>
      <c r="W38" s="33"/>
    </row>
    <row r="39" spans="1:23" x14ac:dyDescent="0.35">
      <c r="A39" s="21" t="s">
        <v>3</v>
      </c>
      <c r="B39" s="41" t="s">
        <v>96</v>
      </c>
      <c r="C39" s="22">
        <v>102179</v>
      </c>
      <c r="D39" s="22" t="s">
        <v>168</v>
      </c>
      <c r="E39" s="22" t="s">
        <v>1</v>
      </c>
      <c r="F39" s="23" t="s">
        <v>3</v>
      </c>
      <c r="G39" s="25">
        <v>10</v>
      </c>
      <c r="H39" s="22" t="s">
        <v>170</v>
      </c>
      <c r="I39" s="24">
        <v>44564</v>
      </c>
      <c r="J39" s="22" t="s">
        <v>173</v>
      </c>
      <c r="K39" s="22" t="s">
        <v>171</v>
      </c>
      <c r="L39" s="22" t="s">
        <v>174</v>
      </c>
      <c r="W39" s="33"/>
    </row>
    <row r="40" spans="1:23" x14ac:dyDescent="0.35">
      <c r="A40" s="21" t="s">
        <v>3</v>
      </c>
      <c r="B40" s="41" t="s">
        <v>97</v>
      </c>
      <c r="C40" s="22">
        <v>102179</v>
      </c>
      <c r="D40" s="22" t="s">
        <v>168</v>
      </c>
      <c r="E40" s="22" t="s">
        <v>1</v>
      </c>
      <c r="F40" s="23" t="s">
        <v>4</v>
      </c>
      <c r="G40" s="30"/>
      <c r="H40" s="22" t="s">
        <v>170</v>
      </c>
      <c r="I40" s="24">
        <v>44564</v>
      </c>
      <c r="J40" s="22" t="s">
        <v>173</v>
      </c>
      <c r="K40" s="22" t="s">
        <v>171</v>
      </c>
      <c r="L40" s="22" t="s">
        <v>174</v>
      </c>
      <c r="W40" s="33"/>
    </row>
    <row r="41" spans="1:23" x14ac:dyDescent="0.35">
      <c r="A41" s="21" t="s">
        <v>4</v>
      </c>
      <c r="B41" s="41" t="s">
        <v>98</v>
      </c>
      <c r="C41" s="22">
        <v>102067</v>
      </c>
      <c r="D41" s="22" t="s">
        <v>168</v>
      </c>
      <c r="E41" s="22" t="s">
        <v>1</v>
      </c>
      <c r="F41" s="23" t="s">
        <v>4</v>
      </c>
      <c r="G41" s="30"/>
      <c r="H41" s="22" t="s">
        <v>170</v>
      </c>
      <c r="I41" s="24">
        <v>44564</v>
      </c>
      <c r="J41" s="22" t="s">
        <v>173</v>
      </c>
      <c r="K41" s="22" t="s">
        <v>171</v>
      </c>
      <c r="L41" s="22" t="s">
        <v>174</v>
      </c>
      <c r="W41" s="33"/>
    </row>
    <row r="42" spans="1:23" x14ac:dyDescent="0.35">
      <c r="A42" s="21" t="s">
        <v>4</v>
      </c>
      <c r="B42" s="41" t="s">
        <v>99</v>
      </c>
      <c r="C42" s="22">
        <v>204238</v>
      </c>
      <c r="D42" s="22" t="s">
        <v>168</v>
      </c>
      <c r="E42" s="22" t="s">
        <v>1</v>
      </c>
      <c r="F42" s="23" t="s">
        <v>4</v>
      </c>
      <c r="G42" s="30"/>
      <c r="H42" s="22" t="s">
        <v>170</v>
      </c>
      <c r="I42" s="24">
        <v>44564</v>
      </c>
      <c r="J42" s="22" t="s">
        <v>173</v>
      </c>
      <c r="K42" s="22" t="s">
        <v>171</v>
      </c>
      <c r="L42" s="22" t="s">
        <v>174</v>
      </c>
      <c r="W42" s="33"/>
    </row>
    <row r="43" spans="1:23" x14ac:dyDescent="0.35">
      <c r="A43" s="21" t="s">
        <v>4</v>
      </c>
      <c r="B43" s="41" t="s">
        <v>100</v>
      </c>
      <c r="C43" s="22">
        <v>102067</v>
      </c>
      <c r="D43" s="22" t="s">
        <v>168</v>
      </c>
      <c r="E43" s="22" t="s">
        <v>1</v>
      </c>
      <c r="F43" s="23" t="s">
        <v>4</v>
      </c>
      <c r="G43" s="30"/>
      <c r="H43" s="22" t="s">
        <v>170</v>
      </c>
      <c r="I43" s="24">
        <v>44564</v>
      </c>
      <c r="J43" s="22" t="s">
        <v>173</v>
      </c>
      <c r="K43" s="22" t="s">
        <v>171</v>
      </c>
      <c r="L43" s="22" t="s">
        <v>174</v>
      </c>
      <c r="W43" s="33"/>
    </row>
    <row r="44" spans="1:23" x14ac:dyDescent="0.35">
      <c r="A44" s="21" t="s">
        <v>4</v>
      </c>
      <c r="B44" s="41" t="s">
        <v>101</v>
      </c>
      <c r="C44" s="22">
        <v>102053</v>
      </c>
      <c r="D44" s="22" t="s">
        <v>168</v>
      </c>
      <c r="E44" s="22" t="s">
        <v>1</v>
      </c>
      <c r="F44" s="23" t="s">
        <v>4</v>
      </c>
      <c r="G44" s="30"/>
      <c r="H44" s="22" t="s">
        <v>170</v>
      </c>
      <c r="I44" s="24">
        <v>44564</v>
      </c>
      <c r="J44" s="22" t="s">
        <v>173</v>
      </c>
      <c r="K44" s="22" t="s">
        <v>171</v>
      </c>
      <c r="L44" s="22" t="s">
        <v>174</v>
      </c>
      <c r="W44" s="33"/>
    </row>
    <row r="45" spans="1:23" x14ac:dyDescent="0.35">
      <c r="A45" s="21" t="s">
        <v>4</v>
      </c>
      <c r="B45" s="41" t="s">
        <v>102</v>
      </c>
      <c r="C45" s="22">
        <v>102067</v>
      </c>
      <c r="D45" s="22" t="s">
        <v>168</v>
      </c>
      <c r="E45" s="22" t="s">
        <v>1</v>
      </c>
      <c r="F45" s="23" t="s">
        <v>4</v>
      </c>
      <c r="G45" s="30"/>
      <c r="H45" s="22" t="s">
        <v>170</v>
      </c>
      <c r="I45" s="24">
        <v>44564</v>
      </c>
      <c r="J45" s="22" t="s">
        <v>173</v>
      </c>
      <c r="K45" s="22" t="s">
        <v>171</v>
      </c>
      <c r="L45" s="22" t="s">
        <v>174</v>
      </c>
      <c r="W45" s="33"/>
    </row>
    <row r="46" spans="1:23" x14ac:dyDescent="0.35">
      <c r="A46" s="21" t="s">
        <v>4</v>
      </c>
      <c r="B46" s="41" t="s">
        <v>103</v>
      </c>
      <c r="C46" s="22">
        <v>204238</v>
      </c>
      <c r="D46" s="22" t="s">
        <v>168</v>
      </c>
      <c r="E46" s="22" t="s">
        <v>1</v>
      </c>
      <c r="F46" s="23" t="s">
        <v>4</v>
      </c>
      <c r="G46" s="30"/>
      <c r="H46" s="22" t="s">
        <v>170</v>
      </c>
      <c r="I46" s="24">
        <v>44564</v>
      </c>
      <c r="J46" s="22" t="s">
        <v>173</v>
      </c>
      <c r="K46" s="22" t="s">
        <v>172</v>
      </c>
      <c r="L46" s="22" t="s">
        <v>174</v>
      </c>
      <c r="W46" s="33"/>
    </row>
    <row r="47" spans="1:23" x14ac:dyDescent="0.35">
      <c r="A47" s="21" t="s">
        <v>4</v>
      </c>
      <c r="B47" s="41" t="s">
        <v>104</v>
      </c>
      <c r="C47" s="22">
        <v>102179</v>
      </c>
      <c r="D47" s="22" t="s">
        <v>168</v>
      </c>
      <c r="E47" s="22" t="s">
        <v>1</v>
      </c>
      <c r="F47" s="23" t="s">
        <v>4</v>
      </c>
      <c r="G47" s="30"/>
      <c r="H47" s="22" t="s">
        <v>170</v>
      </c>
      <c r="I47" s="24">
        <v>44564</v>
      </c>
      <c r="J47" s="22" t="s">
        <v>173</v>
      </c>
      <c r="K47" s="22" t="s">
        <v>172</v>
      </c>
      <c r="L47" s="22" t="s">
        <v>174</v>
      </c>
      <c r="W47" s="33"/>
    </row>
    <row r="48" spans="1:23" x14ac:dyDescent="0.35">
      <c r="A48" s="21" t="s">
        <v>4</v>
      </c>
      <c r="B48" s="41" t="s">
        <v>105</v>
      </c>
      <c r="C48" s="22">
        <v>102179</v>
      </c>
      <c r="D48" s="22" t="s">
        <v>168</v>
      </c>
      <c r="E48" s="22" t="s">
        <v>1</v>
      </c>
      <c r="F48" s="23" t="s">
        <v>4</v>
      </c>
      <c r="G48" s="30"/>
      <c r="H48" s="22" t="s">
        <v>170</v>
      </c>
      <c r="I48" s="24">
        <v>44564</v>
      </c>
      <c r="J48" s="22" t="s">
        <v>173</v>
      </c>
      <c r="K48" s="22" t="s">
        <v>172</v>
      </c>
      <c r="L48" s="22" t="s">
        <v>174</v>
      </c>
      <c r="W48" s="33"/>
    </row>
    <row r="49" spans="1:23" x14ac:dyDescent="0.35">
      <c r="A49" s="21" t="s">
        <v>4</v>
      </c>
      <c r="B49" s="41" t="s">
        <v>106</v>
      </c>
      <c r="C49" s="22">
        <v>102067</v>
      </c>
      <c r="D49" s="22" t="s">
        <v>168</v>
      </c>
      <c r="E49" s="22" t="s">
        <v>1</v>
      </c>
      <c r="F49" s="23" t="s">
        <v>4</v>
      </c>
      <c r="G49" s="30"/>
      <c r="H49" s="22" t="s">
        <v>170</v>
      </c>
      <c r="I49" s="24">
        <v>44564</v>
      </c>
      <c r="J49" s="22" t="s">
        <v>173</v>
      </c>
      <c r="K49" s="22" t="s">
        <v>172</v>
      </c>
      <c r="L49" s="22" t="s">
        <v>174</v>
      </c>
      <c r="W49" s="33"/>
    </row>
    <row r="50" spans="1:23" x14ac:dyDescent="0.35">
      <c r="A50" s="21" t="s">
        <v>4</v>
      </c>
      <c r="B50" s="41" t="s">
        <v>107</v>
      </c>
      <c r="C50" s="22">
        <v>204238</v>
      </c>
      <c r="D50" s="22" t="s">
        <v>168</v>
      </c>
      <c r="E50" s="22" t="s">
        <v>1</v>
      </c>
      <c r="F50" s="23" t="s">
        <v>4</v>
      </c>
      <c r="G50" s="30"/>
      <c r="H50" s="22" t="s">
        <v>170</v>
      </c>
      <c r="I50" s="24">
        <v>44564</v>
      </c>
      <c r="J50" s="22" t="s">
        <v>173</v>
      </c>
      <c r="K50" s="22" t="s">
        <v>172</v>
      </c>
      <c r="L50" s="22" t="s">
        <v>174</v>
      </c>
      <c r="W50" s="33"/>
    </row>
    <row r="51" spans="1:23" x14ac:dyDescent="0.35">
      <c r="A51" s="21" t="s">
        <v>4</v>
      </c>
      <c r="B51" s="41" t="s">
        <v>108</v>
      </c>
      <c r="C51" s="22">
        <v>102067</v>
      </c>
      <c r="D51" s="22" t="s">
        <v>168</v>
      </c>
      <c r="E51" s="22" t="s">
        <v>1</v>
      </c>
      <c r="F51" s="23" t="s">
        <v>4</v>
      </c>
      <c r="G51" s="30"/>
      <c r="H51" s="22" t="s">
        <v>170</v>
      </c>
      <c r="I51" s="24">
        <v>44564</v>
      </c>
      <c r="J51" s="22" t="s">
        <v>173</v>
      </c>
      <c r="K51" s="22" t="s">
        <v>172</v>
      </c>
      <c r="L51" s="22" t="s">
        <v>174</v>
      </c>
      <c r="W51" s="33"/>
    </row>
    <row r="52" spans="1:23" x14ac:dyDescent="0.35">
      <c r="A52" s="21" t="s">
        <v>4</v>
      </c>
      <c r="B52" s="41" t="s">
        <v>109</v>
      </c>
      <c r="C52" s="22">
        <v>102053</v>
      </c>
      <c r="D52" s="22" t="s">
        <v>168</v>
      </c>
      <c r="E52" s="22" t="s">
        <v>1</v>
      </c>
      <c r="F52" s="23" t="s">
        <v>4</v>
      </c>
      <c r="G52" s="30"/>
      <c r="H52" s="22" t="s">
        <v>170</v>
      </c>
      <c r="I52" s="24">
        <v>44564</v>
      </c>
      <c r="J52" s="22" t="s">
        <v>173</v>
      </c>
      <c r="K52" s="22" t="s">
        <v>172</v>
      </c>
      <c r="L52" s="22" t="s">
        <v>174</v>
      </c>
      <c r="W52" s="33"/>
    </row>
    <row r="53" spans="1:23" x14ac:dyDescent="0.35">
      <c r="A53" s="21" t="s">
        <v>4</v>
      </c>
      <c r="B53" s="41" t="s">
        <v>110</v>
      </c>
      <c r="C53" s="22">
        <v>102067</v>
      </c>
      <c r="D53" s="22" t="s">
        <v>168</v>
      </c>
      <c r="E53" s="22" t="s">
        <v>1</v>
      </c>
      <c r="F53" s="23" t="s">
        <v>3</v>
      </c>
      <c r="G53" s="25">
        <v>12</v>
      </c>
      <c r="H53" s="22" t="s">
        <v>170</v>
      </c>
      <c r="I53" s="24">
        <v>44564</v>
      </c>
      <c r="J53" s="22" t="s">
        <v>173</v>
      </c>
      <c r="K53" s="22" t="s">
        <v>172</v>
      </c>
      <c r="L53" s="22" t="s">
        <v>174</v>
      </c>
      <c r="W53" s="33"/>
    </row>
    <row r="54" spans="1:23" x14ac:dyDescent="0.35">
      <c r="A54" s="21" t="s">
        <v>4</v>
      </c>
      <c r="B54" s="41" t="s">
        <v>111</v>
      </c>
      <c r="C54" s="22">
        <v>204238</v>
      </c>
      <c r="D54" s="22" t="s">
        <v>168</v>
      </c>
      <c r="E54" s="22" t="s">
        <v>1</v>
      </c>
      <c r="F54" s="23" t="s">
        <v>3</v>
      </c>
      <c r="G54" s="25">
        <v>5</v>
      </c>
      <c r="H54" s="22" t="s">
        <v>170</v>
      </c>
      <c r="I54" s="24">
        <v>44564</v>
      </c>
      <c r="J54" s="22" t="s">
        <v>173</v>
      </c>
      <c r="K54" s="22" t="s">
        <v>172</v>
      </c>
      <c r="L54" s="22" t="s">
        <v>174</v>
      </c>
      <c r="W54" s="33"/>
    </row>
    <row r="55" spans="1:23" x14ac:dyDescent="0.35">
      <c r="A55" s="21" t="s">
        <v>4</v>
      </c>
      <c r="B55" s="41" t="s">
        <v>112</v>
      </c>
      <c r="C55" s="22">
        <v>102179</v>
      </c>
      <c r="D55" s="22" t="s">
        <v>168</v>
      </c>
      <c r="E55" s="22" t="s">
        <v>1</v>
      </c>
      <c r="F55" s="23" t="s">
        <v>3</v>
      </c>
      <c r="G55" s="25">
        <v>4</v>
      </c>
      <c r="H55" s="22" t="s">
        <v>170</v>
      </c>
      <c r="I55" s="24">
        <v>44564</v>
      </c>
      <c r="J55" s="22" t="s">
        <v>173</v>
      </c>
      <c r="K55" s="22" t="s">
        <v>172</v>
      </c>
      <c r="L55" s="22" t="s">
        <v>174</v>
      </c>
      <c r="W55" s="33"/>
    </row>
    <row r="56" spans="1:23" x14ac:dyDescent="0.35">
      <c r="A56" s="21" t="s">
        <v>4</v>
      </c>
      <c r="B56" s="41" t="s">
        <v>113</v>
      </c>
      <c r="C56" s="22">
        <v>102179</v>
      </c>
      <c r="D56" s="22" t="s">
        <v>168</v>
      </c>
      <c r="E56" s="22" t="s">
        <v>1</v>
      </c>
      <c r="F56" s="23" t="s">
        <v>3</v>
      </c>
      <c r="G56" s="25">
        <v>10</v>
      </c>
      <c r="H56" s="22" t="s">
        <v>170</v>
      </c>
      <c r="I56" s="24">
        <v>44564</v>
      </c>
      <c r="J56" s="22" t="s">
        <v>173</v>
      </c>
      <c r="K56" s="22" t="s">
        <v>172</v>
      </c>
      <c r="L56" s="22" t="s">
        <v>174</v>
      </c>
      <c r="W56" s="33"/>
    </row>
    <row r="57" spans="1:23" x14ac:dyDescent="0.35">
      <c r="A57" s="21" t="s">
        <v>4</v>
      </c>
      <c r="B57" s="41" t="s">
        <v>114</v>
      </c>
      <c r="C57" s="22">
        <v>102067</v>
      </c>
      <c r="D57" s="22" t="s">
        <v>168</v>
      </c>
      <c r="E57" s="22" t="s">
        <v>1</v>
      </c>
      <c r="F57" s="23" t="s">
        <v>4</v>
      </c>
      <c r="G57" s="30"/>
      <c r="H57" s="22" t="s">
        <v>170</v>
      </c>
      <c r="I57" s="24">
        <v>44564</v>
      </c>
      <c r="J57" s="22" t="s">
        <v>173</v>
      </c>
      <c r="K57" s="22" t="s">
        <v>172</v>
      </c>
      <c r="L57" s="22" t="s">
        <v>174</v>
      </c>
      <c r="W57" s="33"/>
    </row>
    <row r="58" spans="1:23" x14ac:dyDescent="0.35">
      <c r="A58" s="21" t="s">
        <v>4</v>
      </c>
      <c r="B58" s="41" t="s">
        <v>115</v>
      </c>
      <c r="C58" s="22">
        <v>204238</v>
      </c>
      <c r="D58" s="22" t="s">
        <v>168</v>
      </c>
      <c r="E58" s="22" t="s">
        <v>1</v>
      </c>
      <c r="F58" s="23" t="s">
        <v>4</v>
      </c>
      <c r="G58" s="30"/>
      <c r="H58" s="22" t="s">
        <v>170</v>
      </c>
      <c r="I58" s="24">
        <v>44564</v>
      </c>
      <c r="J58" s="22" t="s">
        <v>173</v>
      </c>
      <c r="K58" s="22" t="s">
        <v>172</v>
      </c>
      <c r="L58" s="22" t="s">
        <v>174</v>
      </c>
      <c r="W58" s="33"/>
    </row>
    <row r="59" spans="1:23" x14ac:dyDescent="0.35">
      <c r="A59" s="21" t="s">
        <v>4</v>
      </c>
      <c r="B59" s="41" t="s">
        <v>116</v>
      </c>
      <c r="C59" s="22">
        <v>102067</v>
      </c>
      <c r="D59" s="22" t="s">
        <v>168</v>
      </c>
      <c r="E59" s="22" t="s">
        <v>1</v>
      </c>
      <c r="F59" s="23" t="s">
        <v>4</v>
      </c>
      <c r="G59" s="30"/>
      <c r="H59" s="22" t="s">
        <v>170</v>
      </c>
      <c r="I59" s="24">
        <v>44564</v>
      </c>
      <c r="J59" s="22" t="s">
        <v>173</v>
      </c>
      <c r="K59" s="22" t="s">
        <v>172</v>
      </c>
      <c r="L59" s="22" t="s">
        <v>174</v>
      </c>
      <c r="W59" s="33"/>
    </row>
    <row r="60" spans="1:23" x14ac:dyDescent="0.35">
      <c r="A60" s="21" t="s">
        <v>4</v>
      </c>
      <c r="B60" s="41" t="s">
        <v>117</v>
      </c>
      <c r="C60" s="22">
        <v>102053</v>
      </c>
      <c r="D60" s="22" t="s">
        <v>168</v>
      </c>
      <c r="E60" s="22" t="s">
        <v>1</v>
      </c>
      <c r="F60" s="23" t="s">
        <v>4</v>
      </c>
      <c r="G60" s="30"/>
      <c r="H60" s="22" t="s">
        <v>170</v>
      </c>
      <c r="I60" s="24">
        <v>44564</v>
      </c>
      <c r="J60" s="22" t="s">
        <v>173</v>
      </c>
      <c r="K60" s="22" t="s">
        <v>172</v>
      </c>
      <c r="L60" s="22" t="s">
        <v>174</v>
      </c>
      <c r="W60" s="33"/>
    </row>
    <row r="61" spans="1:23" x14ac:dyDescent="0.35">
      <c r="A61" s="21" t="s">
        <v>4</v>
      </c>
      <c r="B61" s="41" t="s">
        <v>118</v>
      </c>
      <c r="C61" s="22">
        <v>102067</v>
      </c>
      <c r="D61" s="22" t="s">
        <v>168</v>
      </c>
      <c r="E61" s="22" t="s">
        <v>1</v>
      </c>
      <c r="F61" s="23" t="s">
        <v>4</v>
      </c>
      <c r="G61" s="30"/>
      <c r="H61" s="22" t="s">
        <v>170</v>
      </c>
      <c r="I61" s="24">
        <v>44564</v>
      </c>
      <c r="J61" s="22" t="s">
        <v>173</v>
      </c>
      <c r="K61" s="22" t="s">
        <v>172</v>
      </c>
      <c r="L61" s="22" t="s">
        <v>174</v>
      </c>
      <c r="W61" s="33"/>
    </row>
    <row r="62" spans="1:23" x14ac:dyDescent="0.35">
      <c r="A62" s="21" t="s">
        <v>4</v>
      </c>
      <c r="B62" s="41" t="s">
        <v>119</v>
      </c>
      <c r="C62" s="22">
        <v>204238</v>
      </c>
      <c r="D62" s="22" t="s">
        <v>168</v>
      </c>
      <c r="E62" s="22" t="s">
        <v>1</v>
      </c>
      <c r="F62" s="23" t="s">
        <v>4</v>
      </c>
      <c r="G62" s="30"/>
      <c r="H62" s="22" t="s">
        <v>170</v>
      </c>
      <c r="I62" s="24">
        <v>44564</v>
      </c>
      <c r="J62" s="22" t="s">
        <v>173</v>
      </c>
      <c r="K62" s="22" t="s">
        <v>172</v>
      </c>
      <c r="L62" s="22" t="s">
        <v>174</v>
      </c>
      <c r="W62" s="33"/>
    </row>
    <row r="63" spans="1:23" x14ac:dyDescent="0.35">
      <c r="A63" s="21" t="s">
        <v>4</v>
      </c>
      <c r="B63" s="41" t="s">
        <v>120</v>
      </c>
      <c r="C63" s="22">
        <v>102179</v>
      </c>
      <c r="D63" s="22" t="s">
        <v>168</v>
      </c>
      <c r="E63" s="22" t="s">
        <v>1</v>
      </c>
      <c r="F63" s="23" t="s">
        <v>4</v>
      </c>
      <c r="G63" s="30"/>
      <c r="H63" s="22" t="s">
        <v>170</v>
      </c>
      <c r="I63" s="24">
        <v>44564</v>
      </c>
      <c r="J63" s="22" t="s">
        <v>173</v>
      </c>
      <c r="K63" s="22" t="s">
        <v>172</v>
      </c>
      <c r="L63" s="22" t="s">
        <v>174</v>
      </c>
      <c r="W63" s="33"/>
    </row>
    <row r="64" spans="1:23" x14ac:dyDescent="0.35">
      <c r="A64" s="21" t="s">
        <v>4</v>
      </c>
      <c r="B64" s="41" t="s">
        <v>121</v>
      </c>
      <c r="C64" s="22">
        <v>102179</v>
      </c>
      <c r="D64" s="22" t="s">
        <v>168</v>
      </c>
      <c r="E64" s="22" t="s">
        <v>1</v>
      </c>
      <c r="F64" s="23" t="s">
        <v>4</v>
      </c>
      <c r="G64" s="30"/>
      <c r="H64" s="22" t="s">
        <v>170</v>
      </c>
      <c r="I64" s="24">
        <v>44564</v>
      </c>
      <c r="J64" s="22" t="s">
        <v>173</v>
      </c>
      <c r="K64" s="22" t="s">
        <v>172</v>
      </c>
      <c r="L64" s="22" t="s">
        <v>174</v>
      </c>
      <c r="W64" s="33"/>
    </row>
    <row r="65" spans="1:23" x14ac:dyDescent="0.35">
      <c r="A65" s="21" t="s">
        <v>4</v>
      </c>
      <c r="B65" s="41" t="s">
        <v>122</v>
      </c>
      <c r="C65" s="22">
        <v>102067</v>
      </c>
      <c r="D65" s="22" t="s">
        <v>168</v>
      </c>
      <c r="E65" s="22" t="s">
        <v>1</v>
      </c>
      <c r="F65" s="23" t="s">
        <v>4</v>
      </c>
      <c r="G65" s="30"/>
      <c r="H65" s="22" t="s">
        <v>170</v>
      </c>
      <c r="I65" s="24">
        <v>44564</v>
      </c>
      <c r="J65" s="22" t="s">
        <v>173</v>
      </c>
      <c r="K65" s="22" t="s">
        <v>172</v>
      </c>
      <c r="L65" s="22" t="s">
        <v>174</v>
      </c>
      <c r="W65" s="33"/>
    </row>
    <row r="66" spans="1:23" x14ac:dyDescent="0.35">
      <c r="A66" s="21" t="s">
        <v>4</v>
      </c>
      <c r="B66" s="41" t="s">
        <v>123</v>
      </c>
      <c r="C66" s="22">
        <v>204238</v>
      </c>
      <c r="D66" s="22" t="s">
        <v>168</v>
      </c>
      <c r="E66" s="22" t="s">
        <v>1</v>
      </c>
      <c r="F66" s="23" t="s">
        <v>4</v>
      </c>
      <c r="G66" s="30"/>
      <c r="H66" s="22" t="s">
        <v>170</v>
      </c>
      <c r="I66" s="24">
        <v>44564</v>
      </c>
      <c r="J66" s="22" t="s">
        <v>173</v>
      </c>
      <c r="K66" s="22" t="s">
        <v>172</v>
      </c>
      <c r="L66" s="22" t="s">
        <v>174</v>
      </c>
      <c r="W66" s="33"/>
    </row>
    <row r="67" spans="1:23" x14ac:dyDescent="0.35">
      <c r="A67" s="21" t="s">
        <v>4</v>
      </c>
      <c r="B67" s="41" t="s">
        <v>124</v>
      </c>
      <c r="C67" s="22">
        <v>102067</v>
      </c>
      <c r="D67" s="22" t="s">
        <v>168</v>
      </c>
      <c r="E67" s="22" t="s">
        <v>1</v>
      </c>
      <c r="F67" s="23" t="s">
        <v>4</v>
      </c>
      <c r="G67" s="30"/>
      <c r="H67" s="22" t="s">
        <v>170</v>
      </c>
      <c r="I67" s="24">
        <v>44564</v>
      </c>
      <c r="J67" s="22" t="s">
        <v>173</v>
      </c>
      <c r="K67" s="22" t="s">
        <v>172</v>
      </c>
      <c r="L67" s="22" t="s">
        <v>174</v>
      </c>
      <c r="W67" s="33"/>
    </row>
    <row r="68" spans="1:23" x14ac:dyDescent="0.35">
      <c r="A68" s="21" t="s">
        <v>4</v>
      </c>
      <c r="B68" s="41" t="s">
        <v>125</v>
      </c>
      <c r="C68" s="22">
        <v>102053</v>
      </c>
      <c r="D68" s="22" t="s">
        <v>168</v>
      </c>
      <c r="E68" s="22" t="s">
        <v>1</v>
      </c>
      <c r="F68" s="23" t="s">
        <v>3</v>
      </c>
      <c r="G68" s="25">
        <v>12</v>
      </c>
      <c r="H68" s="22" t="s">
        <v>170</v>
      </c>
      <c r="I68" s="24">
        <v>44564</v>
      </c>
      <c r="J68" s="22" t="s">
        <v>173</v>
      </c>
      <c r="K68" s="22" t="s">
        <v>172</v>
      </c>
      <c r="L68" s="22" t="s">
        <v>174</v>
      </c>
      <c r="W68" s="33"/>
    </row>
    <row r="69" spans="1:23" x14ac:dyDescent="0.35">
      <c r="A69" s="21" t="s">
        <v>4</v>
      </c>
      <c r="B69" s="41" t="s">
        <v>126</v>
      </c>
      <c r="C69" s="22">
        <v>102067</v>
      </c>
      <c r="D69" s="22" t="s">
        <v>168</v>
      </c>
      <c r="E69" s="22" t="s">
        <v>1</v>
      </c>
      <c r="F69" s="23" t="s">
        <v>3</v>
      </c>
      <c r="G69" s="25">
        <v>5</v>
      </c>
      <c r="H69" s="22" t="s">
        <v>170</v>
      </c>
      <c r="I69" s="24">
        <v>44564</v>
      </c>
      <c r="J69" s="22" t="s">
        <v>173</v>
      </c>
      <c r="K69" s="22" t="s">
        <v>172</v>
      </c>
      <c r="L69" s="22" t="s">
        <v>174</v>
      </c>
      <c r="W69" s="33"/>
    </row>
    <row r="70" spans="1:23" x14ac:dyDescent="0.35">
      <c r="A70" s="21" t="s">
        <v>4</v>
      </c>
      <c r="B70" s="41" t="s">
        <v>127</v>
      </c>
      <c r="C70" s="22">
        <v>204238</v>
      </c>
      <c r="D70" s="22" t="s">
        <v>168</v>
      </c>
      <c r="E70" s="22" t="s">
        <v>1</v>
      </c>
      <c r="F70" s="23" t="s">
        <v>3</v>
      </c>
      <c r="G70" s="25">
        <v>4</v>
      </c>
      <c r="H70" s="22" t="s">
        <v>170</v>
      </c>
      <c r="I70" s="24">
        <v>44564</v>
      </c>
      <c r="J70" s="22" t="s">
        <v>173</v>
      </c>
      <c r="K70" s="22" t="s">
        <v>172</v>
      </c>
      <c r="L70" s="22" t="s">
        <v>174</v>
      </c>
      <c r="W70" s="33"/>
    </row>
    <row r="71" spans="1:23" x14ac:dyDescent="0.35">
      <c r="A71" s="21" t="s">
        <v>4</v>
      </c>
      <c r="B71" s="41" t="s">
        <v>128</v>
      </c>
      <c r="C71" s="22">
        <v>102179</v>
      </c>
      <c r="D71" s="22" t="s">
        <v>168</v>
      </c>
      <c r="E71" s="22" t="s">
        <v>1</v>
      </c>
      <c r="F71" s="23" t="s">
        <v>3</v>
      </c>
      <c r="G71" s="25">
        <v>10</v>
      </c>
      <c r="H71" s="22" t="s">
        <v>170</v>
      </c>
      <c r="I71" s="24">
        <v>44564</v>
      </c>
      <c r="J71" s="22" t="s">
        <v>173</v>
      </c>
      <c r="K71" s="22" t="s">
        <v>172</v>
      </c>
      <c r="L71" s="22" t="s">
        <v>174</v>
      </c>
      <c r="W71" s="33"/>
    </row>
    <row r="72" spans="1:23" x14ac:dyDescent="0.35">
      <c r="A72" s="21" t="s">
        <v>4</v>
      </c>
      <c r="B72" s="41" t="s">
        <v>129</v>
      </c>
      <c r="C72" s="22">
        <v>102179</v>
      </c>
      <c r="D72" s="22" t="s">
        <v>168</v>
      </c>
      <c r="E72" s="22" t="s">
        <v>1</v>
      </c>
      <c r="F72" s="23" t="s">
        <v>4</v>
      </c>
      <c r="G72" s="30"/>
      <c r="H72" s="22" t="s">
        <v>170</v>
      </c>
      <c r="I72" s="24">
        <v>44564</v>
      </c>
      <c r="J72" s="22" t="s">
        <v>173</v>
      </c>
      <c r="K72" s="22" t="s">
        <v>172</v>
      </c>
      <c r="L72" s="22" t="s">
        <v>174</v>
      </c>
      <c r="W72" s="33"/>
    </row>
    <row r="73" spans="1:23" x14ac:dyDescent="0.35">
      <c r="A73" s="21" t="s">
        <v>4</v>
      </c>
      <c r="B73" s="41" t="s">
        <v>130</v>
      </c>
      <c r="C73" s="22">
        <v>102067</v>
      </c>
      <c r="D73" s="22" t="s">
        <v>168</v>
      </c>
      <c r="E73" s="22" t="s">
        <v>1</v>
      </c>
      <c r="F73" s="23" t="s">
        <v>4</v>
      </c>
      <c r="G73" s="30"/>
      <c r="H73" s="22" t="s">
        <v>170</v>
      </c>
      <c r="I73" s="24">
        <v>44564</v>
      </c>
      <c r="J73" s="22" t="s">
        <v>173</v>
      </c>
      <c r="K73" s="22" t="s">
        <v>172</v>
      </c>
      <c r="L73" s="22" t="s">
        <v>174</v>
      </c>
      <c r="W73" s="33"/>
    </row>
    <row r="74" spans="1:23" x14ac:dyDescent="0.35">
      <c r="A74" s="21" t="s">
        <v>4</v>
      </c>
      <c r="B74" s="41" t="s">
        <v>131</v>
      </c>
      <c r="C74" s="22">
        <v>204238</v>
      </c>
      <c r="D74" s="22" t="s">
        <v>168</v>
      </c>
      <c r="E74" s="22" t="s">
        <v>1</v>
      </c>
      <c r="F74" s="23" t="s">
        <v>4</v>
      </c>
      <c r="G74" s="30"/>
      <c r="H74" s="22" t="s">
        <v>170</v>
      </c>
      <c r="I74" s="24">
        <v>44564</v>
      </c>
      <c r="J74" s="22" t="s">
        <v>173</v>
      </c>
      <c r="K74" s="22" t="s">
        <v>172</v>
      </c>
      <c r="L74" s="22" t="s">
        <v>174</v>
      </c>
      <c r="W74" s="33"/>
    </row>
    <row r="75" spans="1:23" x14ac:dyDescent="0.35">
      <c r="A75" s="21" t="s">
        <v>4</v>
      </c>
      <c r="B75" s="41" t="s">
        <v>132</v>
      </c>
      <c r="C75" s="22">
        <v>102067</v>
      </c>
      <c r="D75" s="22" t="s">
        <v>168</v>
      </c>
      <c r="E75" s="22" t="s">
        <v>1</v>
      </c>
      <c r="F75" s="23" t="s">
        <v>4</v>
      </c>
      <c r="G75" s="30"/>
      <c r="H75" s="22" t="s">
        <v>170</v>
      </c>
      <c r="I75" s="24">
        <v>44564</v>
      </c>
      <c r="J75" s="22" t="s">
        <v>173</v>
      </c>
      <c r="K75" s="22" t="s">
        <v>172</v>
      </c>
      <c r="L75" s="22" t="s">
        <v>174</v>
      </c>
      <c r="W75" s="33"/>
    </row>
    <row r="76" spans="1:23" x14ac:dyDescent="0.35">
      <c r="A76" s="21" t="s">
        <v>4</v>
      </c>
      <c r="B76" s="41" t="s">
        <v>133</v>
      </c>
      <c r="C76" s="22">
        <v>102053</v>
      </c>
      <c r="D76" s="22" t="s">
        <v>168</v>
      </c>
      <c r="E76" s="22" t="s">
        <v>1</v>
      </c>
      <c r="F76" s="23" t="s">
        <v>4</v>
      </c>
      <c r="G76" s="30"/>
      <c r="H76" s="22" t="s">
        <v>170</v>
      </c>
      <c r="I76" s="24">
        <v>44564</v>
      </c>
      <c r="J76" s="22" t="s">
        <v>173</v>
      </c>
      <c r="K76" s="22" t="s">
        <v>172</v>
      </c>
      <c r="L76" s="22" t="s">
        <v>174</v>
      </c>
      <c r="W76" s="33"/>
    </row>
    <row r="77" spans="1:23" x14ac:dyDescent="0.35">
      <c r="A77" s="21" t="s">
        <v>4</v>
      </c>
      <c r="B77" s="41" t="s">
        <v>134</v>
      </c>
      <c r="C77" s="22">
        <v>102067</v>
      </c>
      <c r="D77" s="22" t="s">
        <v>168</v>
      </c>
      <c r="E77" s="22" t="s">
        <v>1</v>
      </c>
      <c r="F77" s="23" t="s">
        <v>4</v>
      </c>
      <c r="G77" s="30"/>
      <c r="H77" s="22" t="s">
        <v>170</v>
      </c>
      <c r="I77" s="24">
        <v>44564</v>
      </c>
      <c r="J77" s="22" t="s">
        <v>173</v>
      </c>
      <c r="K77" s="22" t="s">
        <v>172</v>
      </c>
      <c r="L77" s="22" t="s">
        <v>174</v>
      </c>
      <c r="W77" s="33"/>
    </row>
    <row r="78" spans="1:23" x14ac:dyDescent="0.35">
      <c r="A78" s="21" t="s">
        <v>4</v>
      </c>
      <c r="B78" s="41" t="s">
        <v>135</v>
      </c>
      <c r="C78" s="22">
        <v>204238</v>
      </c>
      <c r="D78" s="22" t="s">
        <v>168</v>
      </c>
      <c r="E78" s="22" t="s">
        <v>1</v>
      </c>
      <c r="F78" s="23" t="s">
        <v>4</v>
      </c>
      <c r="G78" s="30"/>
      <c r="H78" s="22" t="s">
        <v>170</v>
      </c>
      <c r="I78" s="24">
        <v>44564</v>
      </c>
      <c r="J78" s="22" t="s">
        <v>173</v>
      </c>
      <c r="K78" s="22" t="s">
        <v>172</v>
      </c>
      <c r="L78" s="22" t="s">
        <v>174</v>
      </c>
      <c r="W78" s="33"/>
    </row>
    <row r="79" spans="1:23" x14ac:dyDescent="0.35">
      <c r="A79" s="21" t="s">
        <v>4</v>
      </c>
      <c r="B79" s="41" t="s">
        <v>136</v>
      </c>
      <c r="C79" s="22">
        <v>102179</v>
      </c>
      <c r="D79" s="22" t="s">
        <v>168</v>
      </c>
      <c r="E79" s="22" t="s">
        <v>1</v>
      </c>
      <c r="F79" s="23" t="s">
        <v>4</v>
      </c>
      <c r="G79" s="30"/>
      <c r="H79" s="22" t="s">
        <v>170</v>
      </c>
      <c r="I79" s="24">
        <v>44564</v>
      </c>
      <c r="J79" s="22" t="s">
        <v>173</v>
      </c>
      <c r="K79" s="22" t="s">
        <v>172</v>
      </c>
      <c r="L79" s="22" t="s">
        <v>174</v>
      </c>
      <c r="W79" s="33"/>
    </row>
    <row r="80" spans="1:23" x14ac:dyDescent="0.35">
      <c r="A80" s="21" t="s">
        <v>4</v>
      </c>
      <c r="B80" s="41" t="s">
        <v>137</v>
      </c>
      <c r="C80" s="22">
        <v>204238</v>
      </c>
      <c r="D80" s="22" t="s">
        <v>168</v>
      </c>
      <c r="E80" s="22" t="s">
        <v>1</v>
      </c>
      <c r="F80" s="23" t="s">
        <v>4</v>
      </c>
      <c r="G80" s="30"/>
      <c r="H80" s="22" t="s">
        <v>170</v>
      </c>
      <c r="I80" s="24">
        <v>44564</v>
      </c>
      <c r="J80" s="22" t="s">
        <v>173</v>
      </c>
      <c r="K80" s="22" t="s">
        <v>172</v>
      </c>
      <c r="L80" s="22" t="s">
        <v>174</v>
      </c>
      <c r="W80" s="33"/>
    </row>
    <row r="81" spans="1:23" x14ac:dyDescent="0.35">
      <c r="A81" s="21" t="s">
        <v>4</v>
      </c>
      <c r="B81" s="41" t="s">
        <v>138</v>
      </c>
      <c r="C81" s="22">
        <v>102067</v>
      </c>
      <c r="D81" s="22" t="s">
        <v>168</v>
      </c>
      <c r="E81" s="22" t="s">
        <v>1</v>
      </c>
      <c r="F81" s="23" t="s">
        <v>4</v>
      </c>
      <c r="G81" s="30"/>
      <c r="H81" s="22" t="s">
        <v>170</v>
      </c>
      <c r="I81" s="24">
        <v>44564</v>
      </c>
      <c r="J81" s="22" t="s">
        <v>173</v>
      </c>
      <c r="K81" s="22" t="s">
        <v>172</v>
      </c>
      <c r="L81" s="22" t="s">
        <v>174</v>
      </c>
      <c r="W81" s="33"/>
    </row>
    <row r="82" spans="1:23" x14ac:dyDescent="0.35">
      <c r="A82" s="21" t="s">
        <v>4</v>
      </c>
      <c r="B82" s="41" t="s">
        <v>139</v>
      </c>
      <c r="C82" s="22">
        <v>102053</v>
      </c>
      <c r="D82" s="22" t="s">
        <v>168</v>
      </c>
      <c r="E82" s="22" t="s">
        <v>1</v>
      </c>
      <c r="F82" s="23" t="s">
        <v>4</v>
      </c>
      <c r="G82" s="30"/>
      <c r="H82" s="22" t="s">
        <v>170</v>
      </c>
      <c r="I82" s="24">
        <v>44564</v>
      </c>
      <c r="J82" s="22" t="s">
        <v>173</v>
      </c>
      <c r="K82" s="22" t="s">
        <v>172</v>
      </c>
      <c r="L82" s="22" t="s">
        <v>174</v>
      </c>
      <c r="W82" s="33"/>
    </row>
    <row r="83" spans="1:23" x14ac:dyDescent="0.35">
      <c r="A83" s="21" t="s">
        <v>4</v>
      </c>
      <c r="B83" s="41" t="s">
        <v>140</v>
      </c>
      <c r="C83" s="22">
        <v>102067</v>
      </c>
      <c r="D83" s="22" t="s">
        <v>168</v>
      </c>
      <c r="E83" s="22" t="s">
        <v>1</v>
      </c>
      <c r="F83" s="23" t="s">
        <v>4</v>
      </c>
      <c r="G83" s="30"/>
      <c r="H83" s="22" t="s">
        <v>170</v>
      </c>
      <c r="I83" s="24">
        <v>44564</v>
      </c>
      <c r="J83" s="22" t="s">
        <v>173</v>
      </c>
      <c r="K83" s="22" t="s">
        <v>172</v>
      </c>
      <c r="L83" s="22" t="s">
        <v>174</v>
      </c>
      <c r="W83" s="33"/>
    </row>
    <row r="84" spans="1:23" x14ac:dyDescent="0.35">
      <c r="A84" s="21" t="s">
        <v>4</v>
      </c>
      <c r="B84" s="41" t="s">
        <v>141</v>
      </c>
      <c r="C84" s="22">
        <v>204238</v>
      </c>
      <c r="D84" s="22" t="s">
        <v>168</v>
      </c>
      <c r="E84" s="22" t="s">
        <v>1</v>
      </c>
      <c r="F84" s="23" t="s">
        <v>4</v>
      </c>
      <c r="G84" s="30"/>
      <c r="H84" s="22" t="s">
        <v>170</v>
      </c>
      <c r="I84" s="24">
        <v>44564</v>
      </c>
      <c r="J84" s="22" t="s">
        <v>173</v>
      </c>
      <c r="K84" s="22" t="s">
        <v>172</v>
      </c>
      <c r="L84" s="22" t="s">
        <v>174</v>
      </c>
      <c r="W84" s="33"/>
    </row>
    <row r="85" spans="1:23" x14ac:dyDescent="0.35">
      <c r="A85" s="21" t="s">
        <v>4</v>
      </c>
      <c r="B85" s="41" t="s">
        <v>142</v>
      </c>
      <c r="C85" s="22">
        <v>102179</v>
      </c>
      <c r="D85" s="22" t="s">
        <v>168</v>
      </c>
      <c r="E85" s="22" t="s">
        <v>1</v>
      </c>
      <c r="F85" s="23" t="s">
        <v>4</v>
      </c>
      <c r="G85" s="30"/>
      <c r="H85" s="22" t="s">
        <v>170</v>
      </c>
      <c r="I85" s="24">
        <v>44564</v>
      </c>
      <c r="J85" s="22" t="s">
        <v>173</v>
      </c>
      <c r="K85" s="22" t="s">
        <v>172</v>
      </c>
      <c r="L85" s="22" t="s">
        <v>174</v>
      </c>
      <c r="W85" s="33"/>
    </row>
    <row r="86" spans="1:23" x14ac:dyDescent="0.35">
      <c r="A86" s="21" t="s">
        <v>4</v>
      </c>
      <c r="B86" s="41" t="s">
        <v>143</v>
      </c>
      <c r="C86" s="22">
        <v>102179</v>
      </c>
      <c r="D86" s="22" t="s">
        <v>168</v>
      </c>
      <c r="E86" s="22" t="s">
        <v>1</v>
      </c>
      <c r="F86" s="23" t="s">
        <v>4</v>
      </c>
      <c r="G86" s="30"/>
      <c r="H86" s="22" t="s">
        <v>170</v>
      </c>
      <c r="I86" s="24">
        <v>44564</v>
      </c>
      <c r="J86" s="22" t="s">
        <v>173</v>
      </c>
      <c r="K86" s="22" t="s">
        <v>172</v>
      </c>
      <c r="L86" s="22" t="s">
        <v>174</v>
      </c>
      <c r="W86" s="33"/>
    </row>
    <row r="87" spans="1:23" x14ac:dyDescent="0.35">
      <c r="A87" s="21" t="s">
        <v>4</v>
      </c>
      <c r="B87" s="41" t="s">
        <v>144</v>
      </c>
      <c r="C87" s="22">
        <v>102067</v>
      </c>
      <c r="D87" s="22" t="s">
        <v>168</v>
      </c>
      <c r="E87" s="22" t="s">
        <v>1</v>
      </c>
      <c r="F87" s="23" t="s">
        <v>4</v>
      </c>
      <c r="G87" s="30"/>
      <c r="H87" s="22" t="s">
        <v>170</v>
      </c>
      <c r="I87" s="24">
        <v>44564</v>
      </c>
      <c r="J87" s="22" t="s">
        <v>173</v>
      </c>
      <c r="K87" s="22" t="s">
        <v>172</v>
      </c>
      <c r="L87" s="22" t="s">
        <v>174</v>
      </c>
      <c r="W87" s="33"/>
    </row>
    <row r="88" spans="1:23" x14ac:dyDescent="0.35">
      <c r="A88" s="21" t="s">
        <v>4</v>
      </c>
      <c r="B88" s="41" t="s">
        <v>145</v>
      </c>
      <c r="C88" s="22">
        <v>204238</v>
      </c>
      <c r="D88" s="22" t="s">
        <v>168</v>
      </c>
      <c r="E88" s="22" t="s">
        <v>1</v>
      </c>
      <c r="F88" s="23" t="s">
        <v>4</v>
      </c>
      <c r="G88" s="30"/>
      <c r="H88" s="22" t="s">
        <v>170</v>
      </c>
      <c r="I88" s="24">
        <v>44564</v>
      </c>
      <c r="J88" s="22" t="s">
        <v>173</v>
      </c>
      <c r="K88" s="22" t="s">
        <v>172</v>
      </c>
      <c r="L88" s="22" t="s">
        <v>174</v>
      </c>
      <c r="W88" s="33"/>
    </row>
    <row r="89" spans="1:23" x14ac:dyDescent="0.35">
      <c r="A89" s="21" t="s">
        <v>4</v>
      </c>
      <c r="B89" s="41" t="s">
        <v>146</v>
      </c>
      <c r="C89" s="22">
        <v>102067</v>
      </c>
      <c r="D89" s="22" t="s">
        <v>168</v>
      </c>
      <c r="E89" s="22" t="s">
        <v>1</v>
      </c>
      <c r="F89" s="23" t="s">
        <v>4</v>
      </c>
      <c r="G89" s="30"/>
      <c r="H89" s="22" t="s">
        <v>170</v>
      </c>
      <c r="I89" s="24">
        <v>44564</v>
      </c>
      <c r="J89" s="22" t="s">
        <v>173</v>
      </c>
      <c r="K89" s="22" t="s">
        <v>172</v>
      </c>
      <c r="L89" s="22" t="s">
        <v>174</v>
      </c>
      <c r="W89" s="33"/>
    </row>
    <row r="90" spans="1:23" x14ac:dyDescent="0.35">
      <c r="A90" s="21" t="s">
        <v>4</v>
      </c>
      <c r="B90" s="41" t="s">
        <v>147</v>
      </c>
      <c r="C90" s="22">
        <v>102053</v>
      </c>
      <c r="D90" s="22" t="s">
        <v>168</v>
      </c>
      <c r="E90" s="22" t="s">
        <v>1</v>
      </c>
      <c r="F90" s="23" t="s">
        <v>4</v>
      </c>
      <c r="G90" s="30"/>
      <c r="H90" s="22" t="s">
        <v>170</v>
      </c>
      <c r="I90" s="24">
        <v>44564</v>
      </c>
      <c r="J90" s="22" t="s">
        <v>173</v>
      </c>
      <c r="K90" s="22" t="s">
        <v>172</v>
      </c>
      <c r="L90" s="22" t="s">
        <v>174</v>
      </c>
      <c r="W90" s="33"/>
    </row>
    <row r="91" spans="1:23" x14ac:dyDescent="0.35">
      <c r="A91" s="21" t="s">
        <v>4</v>
      </c>
      <c r="B91" s="41" t="s">
        <v>148</v>
      </c>
      <c r="C91" s="22">
        <v>102067</v>
      </c>
      <c r="D91" s="22" t="s">
        <v>168</v>
      </c>
      <c r="E91" s="22" t="s">
        <v>1</v>
      </c>
      <c r="F91" s="23" t="s">
        <v>4</v>
      </c>
      <c r="G91" s="30"/>
      <c r="H91" s="22" t="s">
        <v>170</v>
      </c>
      <c r="I91" s="24">
        <v>44564</v>
      </c>
      <c r="J91" s="22" t="s">
        <v>173</v>
      </c>
      <c r="K91" s="22" t="s">
        <v>172</v>
      </c>
      <c r="L91" s="22" t="s">
        <v>174</v>
      </c>
      <c r="W91" s="33"/>
    </row>
    <row r="92" spans="1:23" x14ac:dyDescent="0.35">
      <c r="A92" s="21" t="s">
        <v>4</v>
      </c>
      <c r="B92" s="41" t="s">
        <v>149</v>
      </c>
      <c r="C92" s="22">
        <v>204238</v>
      </c>
      <c r="D92" s="22" t="s">
        <v>168</v>
      </c>
      <c r="E92" s="22" t="s">
        <v>1</v>
      </c>
      <c r="F92" s="23" t="s">
        <v>4</v>
      </c>
      <c r="G92" s="30"/>
      <c r="H92" s="22" t="s">
        <v>170</v>
      </c>
      <c r="I92" s="24">
        <v>44564</v>
      </c>
      <c r="J92" s="22" t="s">
        <v>173</v>
      </c>
      <c r="K92" s="22" t="s">
        <v>172</v>
      </c>
      <c r="L92" s="22" t="s">
        <v>174</v>
      </c>
      <c r="W92" s="33"/>
    </row>
    <row r="93" spans="1:23" x14ac:dyDescent="0.35">
      <c r="A93" s="21" t="s">
        <v>4</v>
      </c>
      <c r="B93" s="41" t="s">
        <v>150</v>
      </c>
      <c r="C93" s="22">
        <v>102179</v>
      </c>
      <c r="D93" s="22" t="s">
        <v>168</v>
      </c>
      <c r="E93" s="22" t="s">
        <v>1</v>
      </c>
      <c r="F93" s="23" t="s">
        <v>4</v>
      </c>
      <c r="G93" s="30"/>
      <c r="H93" s="22" t="s">
        <v>170</v>
      </c>
      <c r="I93" s="24">
        <v>44564</v>
      </c>
      <c r="J93" s="22" t="s">
        <v>173</v>
      </c>
      <c r="K93" s="22" t="s">
        <v>172</v>
      </c>
      <c r="L93" s="22" t="s">
        <v>174</v>
      </c>
      <c r="W93" s="33"/>
    </row>
    <row r="94" spans="1:23" x14ac:dyDescent="0.35">
      <c r="A94" s="21" t="s">
        <v>4</v>
      </c>
      <c r="B94" s="41" t="s">
        <v>151</v>
      </c>
      <c r="C94" s="22">
        <v>102179</v>
      </c>
      <c r="D94" s="22" t="s">
        <v>168</v>
      </c>
      <c r="E94" s="22" t="s">
        <v>1</v>
      </c>
      <c r="F94" s="23" t="s">
        <v>4</v>
      </c>
      <c r="G94" s="30"/>
      <c r="H94" s="22" t="s">
        <v>170</v>
      </c>
      <c r="I94" s="24">
        <v>44564</v>
      </c>
      <c r="J94" s="22" t="s">
        <v>173</v>
      </c>
      <c r="K94" s="22" t="s">
        <v>172</v>
      </c>
      <c r="L94" s="22" t="s">
        <v>174</v>
      </c>
      <c r="W94" s="33"/>
    </row>
    <row r="95" spans="1:23" x14ac:dyDescent="0.35">
      <c r="A95" s="21" t="s">
        <v>4</v>
      </c>
      <c r="B95" s="41" t="s">
        <v>152</v>
      </c>
      <c r="C95" s="22">
        <v>102067</v>
      </c>
      <c r="D95" s="22" t="s">
        <v>168</v>
      </c>
      <c r="E95" s="22" t="s">
        <v>1</v>
      </c>
      <c r="F95" s="23" t="s">
        <v>4</v>
      </c>
      <c r="G95" s="30"/>
      <c r="H95" s="22" t="s">
        <v>170</v>
      </c>
      <c r="I95" s="24">
        <v>44564</v>
      </c>
      <c r="J95" s="22" t="s">
        <v>173</v>
      </c>
      <c r="K95" s="22" t="s">
        <v>172</v>
      </c>
      <c r="L95" s="22" t="s">
        <v>174</v>
      </c>
      <c r="W95" s="33"/>
    </row>
    <row r="96" spans="1:23" x14ac:dyDescent="0.35">
      <c r="A96" s="21" t="s">
        <v>4</v>
      </c>
      <c r="B96" s="41" t="s">
        <v>153</v>
      </c>
      <c r="C96" s="22">
        <v>204238</v>
      </c>
      <c r="D96" s="22" t="s">
        <v>168</v>
      </c>
      <c r="E96" s="22" t="s">
        <v>1</v>
      </c>
      <c r="F96" s="23" t="s">
        <v>4</v>
      </c>
      <c r="G96" s="30"/>
      <c r="H96" s="22" t="s">
        <v>170</v>
      </c>
      <c r="I96" s="24">
        <v>44564</v>
      </c>
      <c r="J96" s="22" t="s">
        <v>173</v>
      </c>
      <c r="K96" s="22" t="s">
        <v>172</v>
      </c>
      <c r="L96" s="22" t="s">
        <v>174</v>
      </c>
      <c r="W96" s="33"/>
    </row>
    <row r="97" spans="1:23" x14ac:dyDescent="0.35">
      <c r="A97" s="21" t="s">
        <v>4</v>
      </c>
      <c r="B97" s="41" t="s">
        <v>154</v>
      </c>
      <c r="C97" s="22">
        <v>204238</v>
      </c>
      <c r="D97" s="22" t="s">
        <v>168</v>
      </c>
      <c r="E97" s="22" t="s">
        <v>1</v>
      </c>
      <c r="F97" s="23" t="s">
        <v>4</v>
      </c>
      <c r="G97" s="30"/>
      <c r="H97" s="22" t="s">
        <v>170</v>
      </c>
      <c r="I97" s="24">
        <v>44564</v>
      </c>
      <c r="J97" s="22" t="s">
        <v>173</v>
      </c>
      <c r="K97" s="22" t="s">
        <v>172</v>
      </c>
      <c r="L97" s="22" t="s">
        <v>174</v>
      </c>
      <c r="W97" s="33"/>
    </row>
    <row r="98" spans="1:23" x14ac:dyDescent="0.35">
      <c r="A98" s="21" t="s">
        <v>4</v>
      </c>
      <c r="B98" s="41" t="s">
        <v>155</v>
      </c>
      <c r="C98" s="22">
        <v>102179</v>
      </c>
      <c r="D98" s="22" t="s">
        <v>168</v>
      </c>
      <c r="E98" s="22" t="s">
        <v>1</v>
      </c>
      <c r="F98" s="23" t="s">
        <v>4</v>
      </c>
      <c r="G98" s="30"/>
      <c r="H98" s="22" t="s">
        <v>170</v>
      </c>
      <c r="I98" s="24">
        <v>44564</v>
      </c>
      <c r="J98" s="22" t="s">
        <v>173</v>
      </c>
      <c r="K98" s="22" t="s">
        <v>172</v>
      </c>
      <c r="L98" s="22" t="s">
        <v>174</v>
      </c>
      <c r="W98" s="33"/>
    </row>
    <row r="99" spans="1:23" x14ac:dyDescent="0.35">
      <c r="A99" s="21" t="s">
        <v>4</v>
      </c>
      <c r="B99" s="41" t="s">
        <v>156</v>
      </c>
      <c r="C99" s="22">
        <v>102179</v>
      </c>
      <c r="D99" s="22" t="s">
        <v>168</v>
      </c>
      <c r="E99" s="22" t="s">
        <v>1</v>
      </c>
      <c r="F99" s="23" t="s">
        <v>4</v>
      </c>
      <c r="G99" s="30"/>
      <c r="H99" s="22" t="s">
        <v>170</v>
      </c>
      <c r="I99" s="24">
        <v>44564</v>
      </c>
      <c r="J99" s="22" t="s">
        <v>173</v>
      </c>
      <c r="K99" s="22" t="s">
        <v>172</v>
      </c>
      <c r="L99" s="22" t="s">
        <v>174</v>
      </c>
      <c r="W99" s="33"/>
    </row>
    <row r="100" spans="1:23" x14ac:dyDescent="0.35">
      <c r="A100" s="21" t="s">
        <v>4</v>
      </c>
      <c r="B100" s="41" t="s">
        <v>157</v>
      </c>
      <c r="C100" s="22">
        <v>102067</v>
      </c>
      <c r="D100" s="22" t="s">
        <v>168</v>
      </c>
      <c r="E100" s="22" t="s">
        <v>1</v>
      </c>
      <c r="F100" s="23" t="s">
        <v>4</v>
      </c>
      <c r="G100" s="30"/>
      <c r="H100" s="22" t="s">
        <v>170</v>
      </c>
      <c r="I100" s="24">
        <v>44564</v>
      </c>
      <c r="J100" s="22" t="s">
        <v>173</v>
      </c>
      <c r="K100" s="22" t="s">
        <v>172</v>
      </c>
      <c r="L100" s="22" t="s">
        <v>174</v>
      </c>
      <c r="W100" s="33"/>
    </row>
    <row r="101" spans="1:23" x14ac:dyDescent="0.35">
      <c r="A101" s="21" t="s">
        <v>4</v>
      </c>
      <c r="B101" s="41" t="s">
        <v>158</v>
      </c>
      <c r="C101" s="22">
        <v>204238</v>
      </c>
      <c r="D101" s="22" t="s">
        <v>168</v>
      </c>
      <c r="E101" s="22" t="s">
        <v>1</v>
      </c>
      <c r="F101" s="23" t="s">
        <v>4</v>
      </c>
      <c r="G101" s="30"/>
      <c r="H101" s="22" t="s">
        <v>170</v>
      </c>
      <c r="I101" s="24">
        <v>44564</v>
      </c>
      <c r="J101" s="22" t="s">
        <v>173</v>
      </c>
      <c r="K101" s="22" t="s">
        <v>172</v>
      </c>
      <c r="L101" s="22" t="s">
        <v>174</v>
      </c>
      <c r="W101" s="33"/>
    </row>
    <row r="102" spans="1:23" x14ac:dyDescent="0.35">
      <c r="A102" s="21" t="s">
        <v>4</v>
      </c>
      <c r="B102" s="41" t="s">
        <v>159</v>
      </c>
      <c r="C102" s="22">
        <v>102067</v>
      </c>
      <c r="D102" s="22" t="s">
        <v>168</v>
      </c>
      <c r="E102" s="22" t="s">
        <v>1</v>
      </c>
      <c r="F102" s="23" t="s">
        <v>4</v>
      </c>
      <c r="G102" s="30"/>
      <c r="H102" s="22" t="s">
        <v>170</v>
      </c>
      <c r="I102" s="24">
        <v>44564</v>
      </c>
      <c r="J102" s="22" t="s">
        <v>173</v>
      </c>
      <c r="K102" s="22" t="s">
        <v>172</v>
      </c>
      <c r="L102" s="22" t="s">
        <v>174</v>
      </c>
      <c r="W102" s="33"/>
    </row>
    <row r="103" spans="1:23" x14ac:dyDescent="0.35">
      <c r="A103" s="21" t="s">
        <v>4</v>
      </c>
      <c r="B103" s="41" t="s">
        <v>160</v>
      </c>
      <c r="C103" s="22">
        <v>102053</v>
      </c>
      <c r="D103" s="22" t="s">
        <v>168</v>
      </c>
      <c r="E103" s="22" t="s">
        <v>1</v>
      </c>
      <c r="F103" s="23" t="s">
        <v>4</v>
      </c>
      <c r="G103" s="30"/>
      <c r="H103" s="22" t="s">
        <v>170</v>
      </c>
      <c r="I103" s="24">
        <v>44564</v>
      </c>
      <c r="J103" s="22" t="s">
        <v>173</v>
      </c>
      <c r="K103" s="22" t="s">
        <v>172</v>
      </c>
      <c r="L103" s="22" t="s">
        <v>174</v>
      </c>
      <c r="W103" s="33"/>
    </row>
    <row r="104" spans="1:23" x14ac:dyDescent="0.35">
      <c r="A104" s="21" t="s">
        <v>4</v>
      </c>
      <c r="B104" s="41" t="s">
        <v>161</v>
      </c>
      <c r="C104" s="22">
        <v>102067</v>
      </c>
      <c r="D104" s="22" t="s">
        <v>168</v>
      </c>
      <c r="E104" s="22" t="s">
        <v>1</v>
      </c>
      <c r="F104" s="23" t="s">
        <v>4</v>
      </c>
      <c r="G104" s="30"/>
      <c r="H104" s="22" t="s">
        <v>170</v>
      </c>
      <c r="I104" s="24">
        <v>44564</v>
      </c>
      <c r="J104" s="22" t="s">
        <v>173</v>
      </c>
      <c r="K104" s="22" t="s">
        <v>172</v>
      </c>
      <c r="L104" s="22" t="s">
        <v>174</v>
      </c>
      <c r="W104" s="33"/>
    </row>
    <row r="105" spans="1:23" x14ac:dyDescent="0.35">
      <c r="A105" s="21" t="s">
        <v>4</v>
      </c>
      <c r="B105" s="41" t="s">
        <v>162</v>
      </c>
      <c r="C105" s="22">
        <v>204238</v>
      </c>
      <c r="D105" s="22" t="s">
        <v>168</v>
      </c>
      <c r="E105" s="22" t="s">
        <v>1</v>
      </c>
      <c r="F105" s="23" t="s">
        <v>4</v>
      </c>
      <c r="G105" s="30"/>
      <c r="H105" s="22" t="s">
        <v>170</v>
      </c>
      <c r="I105" s="24">
        <v>44564</v>
      </c>
      <c r="J105" s="22" t="s">
        <v>173</v>
      </c>
      <c r="K105" s="22" t="s">
        <v>172</v>
      </c>
      <c r="L105" s="22" t="s">
        <v>174</v>
      </c>
      <c r="W105" s="33"/>
    </row>
    <row r="106" spans="1:23" x14ac:dyDescent="0.35">
      <c r="A106" s="21" t="s">
        <v>4</v>
      </c>
      <c r="B106" s="41" t="s">
        <v>163</v>
      </c>
      <c r="C106" s="22">
        <v>102179</v>
      </c>
      <c r="D106" s="22" t="s">
        <v>168</v>
      </c>
      <c r="E106" s="22" t="s">
        <v>1</v>
      </c>
      <c r="F106" s="23" t="s">
        <v>4</v>
      </c>
      <c r="G106" s="30"/>
      <c r="H106" s="22" t="s">
        <v>170</v>
      </c>
      <c r="I106" s="24">
        <v>44564</v>
      </c>
      <c r="J106" s="22" t="s">
        <v>173</v>
      </c>
      <c r="K106" s="22" t="s">
        <v>172</v>
      </c>
      <c r="L106" s="22" t="s">
        <v>174</v>
      </c>
      <c r="W106" s="33"/>
    </row>
    <row r="107" spans="1:23" x14ac:dyDescent="0.35">
      <c r="A107" s="21" t="s">
        <v>4</v>
      </c>
      <c r="B107" s="41" t="s">
        <v>164</v>
      </c>
      <c r="C107" s="22">
        <v>102179</v>
      </c>
      <c r="D107" s="22" t="s">
        <v>168</v>
      </c>
      <c r="E107" s="22" t="s">
        <v>1</v>
      </c>
      <c r="F107" s="23" t="s">
        <v>4</v>
      </c>
      <c r="G107" s="30"/>
      <c r="H107" s="22" t="s">
        <v>170</v>
      </c>
      <c r="I107" s="24">
        <v>44564</v>
      </c>
      <c r="J107" s="22" t="s">
        <v>173</v>
      </c>
      <c r="K107" s="22" t="s">
        <v>172</v>
      </c>
      <c r="L107" s="22" t="s">
        <v>174</v>
      </c>
      <c r="W107" s="33"/>
    </row>
    <row r="108" spans="1:23" x14ac:dyDescent="0.35">
      <c r="A108" s="21" t="s">
        <v>3</v>
      </c>
      <c r="B108" s="41" t="s">
        <v>165</v>
      </c>
      <c r="C108" s="22">
        <v>102067</v>
      </c>
      <c r="D108" s="22" t="s">
        <v>168</v>
      </c>
      <c r="E108" s="22" t="s">
        <v>1</v>
      </c>
      <c r="F108" s="23" t="s">
        <v>4</v>
      </c>
      <c r="G108" s="30"/>
      <c r="H108" s="22" t="s">
        <v>170</v>
      </c>
      <c r="I108" s="24">
        <v>44564</v>
      </c>
      <c r="J108" s="22" t="s">
        <v>173</v>
      </c>
      <c r="K108" s="22" t="s">
        <v>172</v>
      </c>
      <c r="L108" s="22" t="s">
        <v>174</v>
      </c>
      <c r="W108" s="33"/>
    </row>
    <row r="109" spans="1:23" x14ac:dyDescent="0.35">
      <c r="A109" s="21" t="s">
        <v>4</v>
      </c>
      <c r="B109" s="41" t="s">
        <v>166</v>
      </c>
      <c r="C109" s="22">
        <v>204238</v>
      </c>
      <c r="D109" s="22" t="s">
        <v>168</v>
      </c>
      <c r="E109" s="22" t="s">
        <v>1</v>
      </c>
      <c r="F109" s="23" t="s">
        <v>4</v>
      </c>
      <c r="G109" s="30"/>
      <c r="H109" s="22" t="s">
        <v>170</v>
      </c>
      <c r="I109" s="24">
        <v>44564</v>
      </c>
      <c r="J109" s="22" t="s">
        <v>173</v>
      </c>
      <c r="K109" s="22" t="s">
        <v>172</v>
      </c>
      <c r="L109" s="22" t="s">
        <v>174</v>
      </c>
      <c r="W109" s="33"/>
    </row>
    <row r="110" spans="1:23" x14ac:dyDescent="0.35">
      <c r="A110" s="21" t="s">
        <v>4</v>
      </c>
      <c r="B110" s="41" t="s">
        <v>167</v>
      </c>
      <c r="C110" s="22">
        <v>102067</v>
      </c>
      <c r="D110" s="22" t="s">
        <v>168</v>
      </c>
      <c r="E110" s="22" t="s">
        <v>1</v>
      </c>
      <c r="F110" s="23" t="s">
        <v>4</v>
      </c>
      <c r="G110" s="30"/>
      <c r="H110" s="22" t="s">
        <v>170</v>
      </c>
      <c r="I110" s="24">
        <v>44564</v>
      </c>
      <c r="J110" s="22" t="s">
        <v>173</v>
      </c>
      <c r="K110" s="22" t="s">
        <v>172</v>
      </c>
      <c r="L110" s="22" t="s">
        <v>174</v>
      </c>
      <c r="W110" s="33"/>
    </row>
    <row r="111" spans="1:23" x14ac:dyDescent="0.35">
      <c r="A111" s="21" t="s">
        <v>4</v>
      </c>
      <c r="B111" s="41" t="s">
        <v>164</v>
      </c>
      <c r="C111" s="22">
        <v>102053</v>
      </c>
      <c r="D111" s="22" t="s">
        <v>168</v>
      </c>
      <c r="E111" s="22" t="s">
        <v>1</v>
      </c>
      <c r="F111" s="23" t="s">
        <v>4</v>
      </c>
      <c r="G111" s="30"/>
      <c r="H111" s="22" t="s">
        <v>170</v>
      </c>
      <c r="I111" s="24">
        <v>44564</v>
      </c>
      <c r="J111" s="22" t="s">
        <v>173</v>
      </c>
      <c r="K111" s="22" t="s">
        <v>172</v>
      </c>
      <c r="L111" s="22" t="s">
        <v>174</v>
      </c>
      <c r="W111" s="33"/>
    </row>
    <row r="112" spans="1:23" x14ac:dyDescent="0.35">
      <c r="A112" s="21" t="s">
        <v>3</v>
      </c>
      <c r="B112" s="41" t="s">
        <v>165</v>
      </c>
      <c r="C112" s="22">
        <v>102067</v>
      </c>
      <c r="D112" s="22" t="s">
        <v>168</v>
      </c>
      <c r="E112" s="22" t="s">
        <v>1</v>
      </c>
      <c r="F112" s="23" t="s">
        <v>4</v>
      </c>
      <c r="G112" s="30"/>
      <c r="H112" s="22" t="s">
        <v>170</v>
      </c>
      <c r="I112" s="24">
        <v>44564</v>
      </c>
      <c r="J112" s="22" t="s">
        <v>173</v>
      </c>
      <c r="K112" s="22" t="s">
        <v>172</v>
      </c>
      <c r="L112" s="22" t="s">
        <v>174</v>
      </c>
      <c r="W112" s="33"/>
    </row>
    <row r="113" spans="1:23" x14ac:dyDescent="0.35">
      <c r="A113" s="21" t="s">
        <v>3</v>
      </c>
      <c r="B113" s="70" t="s">
        <v>184</v>
      </c>
      <c r="C113" s="22">
        <v>125878</v>
      </c>
      <c r="D113" s="22" t="s">
        <v>58</v>
      </c>
      <c r="E113" s="22" t="s">
        <v>59</v>
      </c>
      <c r="F113" s="23" t="s">
        <v>3</v>
      </c>
      <c r="G113" s="25">
        <v>21</v>
      </c>
      <c r="H113" s="22" t="s">
        <v>60</v>
      </c>
      <c r="I113" s="24">
        <v>44846</v>
      </c>
      <c r="J113" s="22" t="s">
        <v>185</v>
      </c>
      <c r="K113" s="22" t="s">
        <v>186</v>
      </c>
      <c r="L113" s="22" t="s">
        <v>187</v>
      </c>
      <c r="W113" s="33"/>
    </row>
    <row r="114" spans="1:23" x14ac:dyDescent="0.35">
      <c r="A114" s="21"/>
      <c r="B114" s="41"/>
      <c r="C114" s="22"/>
      <c r="D114" s="22"/>
      <c r="E114" s="22"/>
      <c r="F114" s="23"/>
      <c r="G114" s="25"/>
      <c r="H114" s="22"/>
      <c r="I114" s="24"/>
      <c r="J114" s="22"/>
      <c r="K114" s="22"/>
      <c r="L114" s="22"/>
      <c r="W114" s="33"/>
    </row>
    <row r="115" spans="1:23" x14ac:dyDescent="0.35">
      <c r="A115" s="21"/>
      <c r="B115" s="41"/>
      <c r="C115" s="22"/>
      <c r="D115" s="22"/>
      <c r="E115" s="22"/>
      <c r="F115" s="23"/>
      <c r="G115" s="25"/>
      <c r="H115" s="22"/>
      <c r="I115" s="24"/>
      <c r="J115" s="22"/>
      <c r="K115" s="22"/>
      <c r="L115" s="22"/>
      <c r="W115" s="33"/>
    </row>
    <row r="116" spans="1:23" x14ac:dyDescent="0.35">
      <c r="A116" s="21"/>
      <c r="B116" s="41"/>
      <c r="C116" s="22"/>
      <c r="D116" s="22"/>
      <c r="E116" s="22"/>
      <c r="F116" s="23"/>
      <c r="G116" s="30"/>
      <c r="H116" s="22"/>
      <c r="I116" s="24"/>
      <c r="J116" s="22"/>
      <c r="K116" s="22"/>
      <c r="L116" s="22"/>
      <c r="W116" s="33"/>
    </row>
    <row r="117" spans="1:23" x14ac:dyDescent="0.35">
      <c r="A117" s="21"/>
      <c r="B117" s="41"/>
      <c r="C117" s="22"/>
      <c r="D117" s="22"/>
      <c r="E117" s="22"/>
      <c r="F117" s="23"/>
      <c r="G117" s="30"/>
      <c r="H117" s="22"/>
      <c r="I117" s="24"/>
      <c r="J117" s="22"/>
      <c r="K117" s="22"/>
      <c r="L117" s="22"/>
      <c r="W117" s="33"/>
    </row>
    <row r="118" spans="1:23" x14ac:dyDescent="0.35">
      <c r="A118" s="21"/>
      <c r="B118" s="41"/>
      <c r="C118" s="22"/>
      <c r="D118" s="22"/>
      <c r="E118" s="22"/>
      <c r="F118" s="23"/>
      <c r="G118" s="30"/>
      <c r="H118" s="22"/>
      <c r="I118" s="24"/>
      <c r="J118" s="22"/>
      <c r="K118" s="22"/>
      <c r="L118" s="22"/>
      <c r="W118" s="33"/>
    </row>
    <row r="119" spans="1:23" x14ac:dyDescent="0.35">
      <c r="A119" s="21"/>
      <c r="B119" s="41"/>
      <c r="C119" s="22"/>
      <c r="D119" s="22"/>
      <c r="E119" s="22"/>
      <c r="F119" s="23"/>
      <c r="G119" s="30"/>
      <c r="H119" s="22"/>
      <c r="I119" s="24"/>
      <c r="J119" s="22"/>
      <c r="K119" s="22"/>
      <c r="L119" s="22"/>
      <c r="W119" s="33"/>
    </row>
    <row r="120" spans="1:23" x14ac:dyDescent="0.35">
      <c r="A120" s="21"/>
      <c r="B120" s="41"/>
      <c r="C120" s="22"/>
      <c r="D120" s="22"/>
      <c r="E120" s="22"/>
      <c r="F120" s="23"/>
      <c r="G120" s="30"/>
      <c r="H120" s="22"/>
      <c r="I120" s="24"/>
      <c r="J120" s="22"/>
      <c r="K120" s="22"/>
      <c r="L120" s="22"/>
      <c r="W120" s="33"/>
    </row>
    <row r="121" spans="1:23" x14ac:dyDescent="0.35">
      <c r="A121" s="21"/>
      <c r="B121" s="41"/>
      <c r="C121" s="22"/>
      <c r="D121" s="22"/>
      <c r="E121" s="22"/>
      <c r="F121" s="23"/>
      <c r="G121" s="30"/>
      <c r="H121" s="22"/>
      <c r="I121" s="24"/>
      <c r="J121" s="22"/>
      <c r="K121" s="22"/>
      <c r="L121" s="22"/>
      <c r="W121" s="33"/>
    </row>
    <row r="122" spans="1:23" x14ac:dyDescent="0.35">
      <c r="A122" s="21"/>
      <c r="B122" s="41"/>
      <c r="C122" s="22"/>
      <c r="D122" s="22"/>
      <c r="E122" s="22"/>
      <c r="F122" s="23"/>
      <c r="G122" s="30"/>
      <c r="H122" s="22"/>
      <c r="I122" s="24"/>
      <c r="J122" s="22"/>
      <c r="K122" s="22"/>
      <c r="L122" s="22"/>
      <c r="W122" s="33"/>
    </row>
    <row r="123" spans="1:23" x14ac:dyDescent="0.35">
      <c r="A123" s="21"/>
      <c r="B123" s="41"/>
      <c r="C123" s="22"/>
      <c r="D123" s="22"/>
      <c r="E123" s="22"/>
      <c r="F123" s="23"/>
      <c r="G123" s="30"/>
      <c r="H123" s="22"/>
      <c r="I123" s="24"/>
      <c r="J123" s="22"/>
      <c r="K123" s="22"/>
      <c r="L123" s="22"/>
      <c r="W123" s="33"/>
    </row>
    <row r="124" spans="1:23" x14ac:dyDescent="0.35">
      <c r="A124" s="21"/>
      <c r="B124" s="41"/>
      <c r="C124" s="22"/>
      <c r="D124" s="22"/>
      <c r="E124" s="22"/>
      <c r="F124" s="23"/>
      <c r="G124" s="30"/>
      <c r="H124" s="22"/>
      <c r="I124" s="24"/>
      <c r="J124" s="22"/>
      <c r="K124" s="22"/>
      <c r="L124" s="22"/>
      <c r="W124" s="33"/>
    </row>
    <row r="125" spans="1:23" x14ac:dyDescent="0.35">
      <c r="A125" s="21"/>
      <c r="B125" s="41"/>
      <c r="C125" s="22"/>
      <c r="D125" s="22"/>
      <c r="E125" s="22"/>
      <c r="F125" s="23"/>
      <c r="G125" s="30"/>
      <c r="H125" s="22"/>
      <c r="I125" s="24"/>
      <c r="J125" s="22"/>
      <c r="K125" s="22"/>
      <c r="L125" s="22"/>
      <c r="W125" s="33"/>
    </row>
    <row r="126" spans="1:23" x14ac:dyDescent="0.35">
      <c r="A126" s="21"/>
      <c r="B126" s="41"/>
      <c r="C126" s="22"/>
      <c r="D126" s="22"/>
      <c r="E126" s="22"/>
      <c r="F126" s="23"/>
      <c r="G126" s="30"/>
      <c r="H126" s="22"/>
      <c r="I126" s="24"/>
      <c r="J126" s="22"/>
      <c r="K126" s="22"/>
      <c r="L126" s="22"/>
      <c r="W126" s="33"/>
    </row>
    <row r="127" spans="1:23" x14ac:dyDescent="0.35">
      <c r="A127" s="21"/>
      <c r="B127" s="41"/>
      <c r="C127" s="22"/>
      <c r="D127" s="22"/>
      <c r="E127" s="22"/>
      <c r="F127" s="23"/>
      <c r="G127" s="30"/>
      <c r="H127" s="22"/>
      <c r="I127" s="24"/>
      <c r="J127" s="22"/>
      <c r="K127" s="22"/>
      <c r="L127" s="22"/>
      <c r="W127" s="33"/>
    </row>
    <row r="128" spans="1:23" x14ac:dyDescent="0.35">
      <c r="A128" s="21"/>
      <c r="B128" s="41"/>
      <c r="C128" s="22"/>
      <c r="D128" s="22"/>
      <c r="E128" s="22"/>
      <c r="F128" s="23"/>
      <c r="G128" s="25"/>
      <c r="H128" s="22"/>
      <c r="I128" s="24"/>
      <c r="J128" s="22"/>
      <c r="K128" s="22"/>
      <c r="L128" s="22"/>
      <c r="W128" s="33"/>
    </row>
    <row r="129" spans="1:23" x14ac:dyDescent="0.35">
      <c r="A129" s="21"/>
      <c r="B129" s="41"/>
      <c r="C129" s="22"/>
      <c r="D129" s="22"/>
      <c r="E129" s="22"/>
      <c r="F129" s="23"/>
      <c r="G129" s="25"/>
      <c r="H129" s="22"/>
      <c r="I129" s="24"/>
      <c r="J129" s="22"/>
      <c r="K129" s="22"/>
      <c r="L129" s="22"/>
      <c r="W129" s="33"/>
    </row>
    <row r="130" spans="1:23" x14ac:dyDescent="0.35">
      <c r="A130" s="21"/>
      <c r="B130" s="41"/>
      <c r="C130" s="22"/>
      <c r="D130" s="22"/>
      <c r="E130" s="22"/>
      <c r="F130" s="23"/>
      <c r="G130" s="30"/>
      <c r="H130" s="22"/>
      <c r="I130" s="24"/>
      <c r="J130" s="22"/>
      <c r="K130" s="22"/>
      <c r="L130" s="22"/>
      <c r="W130" s="33"/>
    </row>
    <row r="131" spans="1:23" x14ac:dyDescent="0.35">
      <c r="A131" s="21"/>
      <c r="B131" s="41"/>
      <c r="C131" s="22"/>
      <c r="D131" s="22"/>
      <c r="E131" s="22"/>
      <c r="F131" s="23"/>
      <c r="G131" s="30"/>
      <c r="H131" s="22"/>
      <c r="I131" s="24"/>
      <c r="J131" s="22"/>
      <c r="K131" s="22"/>
      <c r="L131" s="22"/>
      <c r="W131" s="33"/>
    </row>
    <row r="132" spans="1:23" x14ac:dyDescent="0.35">
      <c r="A132" s="21"/>
      <c r="B132" s="41"/>
      <c r="C132" s="22"/>
      <c r="D132" s="22"/>
      <c r="E132" s="22"/>
      <c r="F132" s="23"/>
      <c r="G132" s="30"/>
      <c r="H132" s="22"/>
      <c r="I132" s="24"/>
      <c r="J132" s="22"/>
      <c r="K132" s="22"/>
      <c r="L132" s="22"/>
      <c r="W132" s="33"/>
    </row>
    <row r="133" spans="1:23" x14ac:dyDescent="0.35">
      <c r="A133" s="21"/>
      <c r="B133" s="41"/>
      <c r="C133" s="22"/>
      <c r="D133" s="22"/>
      <c r="E133" s="22"/>
      <c r="F133" s="23"/>
      <c r="G133" s="30"/>
      <c r="H133" s="22"/>
      <c r="I133" s="24"/>
      <c r="J133" s="22"/>
      <c r="K133" s="22"/>
      <c r="L133" s="22"/>
      <c r="W133" s="33"/>
    </row>
    <row r="134" spans="1:23" x14ac:dyDescent="0.35">
      <c r="A134" s="21"/>
      <c r="B134" s="41"/>
      <c r="C134" s="22"/>
      <c r="D134" s="22"/>
      <c r="E134" s="22"/>
      <c r="F134" s="23"/>
      <c r="G134" s="30"/>
      <c r="H134" s="22"/>
      <c r="I134" s="24"/>
      <c r="J134" s="22"/>
      <c r="K134" s="22"/>
      <c r="L134" s="22"/>
      <c r="W134" s="33"/>
    </row>
    <row r="135" spans="1:23" x14ac:dyDescent="0.35">
      <c r="A135" s="21"/>
      <c r="B135" s="41"/>
      <c r="C135" s="22"/>
      <c r="D135" s="22"/>
      <c r="E135" s="22"/>
      <c r="F135" s="23"/>
      <c r="G135" s="30"/>
      <c r="H135" s="22"/>
      <c r="I135" s="24"/>
      <c r="J135" s="22"/>
      <c r="K135" s="22"/>
      <c r="L135" s="22"/>
      <c r="W135" s="33"/>
    </row>
    <row r="136" spans="1:23" x14ac:dyDescent="0.35">
      <c r="A136" s="21"/>
      <c r="B136" s="41"/>
      <c r="C136" s="22"/>
      <c r="D136" s="22"/>
      <c r="E136" s="22"/>
      <c r="F136" s="23"/>
      <c r="G136" s="30"/>
      <c r="H136" s="22"/>
      <c r="I136" s="24"/>
      <c r="J136" s="22"/>
      <c r="K136" s="22"/>
      <c r="L136" s="22"/>
      <c r="W136" s="33"/>
    </row>
    <row r="137" spans="1:23" x14ac:dyDescent="0.35">
      <c r="A137" s="21"/>
      <c r="B137" s="41"/>
      <c r="C137" s="22"/>
      <c r="D137" s="22"/>
      <c r="E137" s="22"/>
      <c r="F137" s="23"/>
      <c r="G137" s="30"/>
      <c r="H137" s="22"/>
      <c r="I137" s="24"/>
      <c r="J137" s="22"/>
      <c r="K137" s="22"/>
      <c r="L137" s="22"/>
      <c r="W137" s="33"/>
    </row>
    <row r="138" spans="1:23" x14ac:dyDescent="0.35">
      <c r="A138" s="21"/>
      <c r="B138" s="41"/>
      <c r="C138" s="22"/>
      <c r="D138" s="22"/>
      <c r="E138" s="22"/>
      <c r="F138" s="23"/>
      <c r="G138" s="30"/>
      <c r="H138" s="22"/>
      <c r="I138" s="24"/>
      <c r="J138" s="22"/>
      <c r="K138" s="22"/>
      <c r="L138" s="22"/>
      <c r="W138" s="33"/>
    </row>
    <row r="139" spans="1:23" x14ac:dyDescent="0.35">
      <c r="A139" s="21"/>
      <c r="B139" s="41"/>
      <c r="C139" s="22"/>
      <c r="D139" s="22"/>
      <c r="E139" s="22"/>
      <c r="F139" s="23"/>
      <c r="G139" s="30"/>
      <c r="H139" s="22"/>
      <c r="I139" s="24"/>
      <c r="J139" s="22"/>
      <c r="K139" s="22"/>
      <c r="L139" s="22"/>
      <c r="W139" s="33"/>
    </row>
    <row r="140" spans="1:23" x14ac:dyDescent="0.35">
      <c r="A140" s="21"/>
      <c r="B140" s="41"/>
      <c r="C140" s="22"/>
      <c r="D140" s="22"/>
      <c r="E140" s="22"/>
      <c r="F140" s="23"/>
      <c r="G140" s="30"/>
      <c r="H140" s="22"/>
      <c r="I140" s="24"/>
      <c r="J140" s="22"/>
      <c r="K140" s="22"/>
      <c r="L140" s="22"/>
      <c r="W140" s="33"/>
    </row>
    <row r="141" spans="1:23" x14ac:dyDescent="0.35">
      <c r="A141" s="21"/>
      <c r="B141" s="41"/>
      <c r="C141" s="22"/>
      <c r="D141" s="22"/>
      <c r="E141" s="22"/>
      <c r="F141" s="23"/>
      <c r="G141" s="30"/>
      <c r="H141" s="22"/>
      <c r="I141" s="24"/>
      <c r="J141" s="22"/>
      <c r="K141" s="22"/>
      <c r="L141" s="22"/>
      <c r="W141" s="33"/>
    </row>
    <row r="142" spans="1:23" x14ac:dyDescent="0.35">
      <c r="A142" s="21"/>
      <c r="B142" s="41"/>
      <c r="C142" s="22"/>
      <c r="D142" s="22"/>
      <c r="E142" s="22"/>
      <c r="F142" s="23"/>
      <c r="G142" s="30"/>
      <c r="H142" s="22"/>
      <c r="I142" s="24"/>
      <c r="J142" s="22"/>
      <c r="K142" s="22"/>
      <c r="L142" s="22"/>
      <c r="W142" s="33"/>
    </row>
    <row r="143" spans="1:23" x14ac:dyDescent="0.35">
      <c r="A143" s="21"/>
      <c r="B143" s="41"/>
      <c r="C143" s="22"/>
      <c r="D143" s="22"/>
      <c r="E143" s="22"/>
      <c r="F143" s="23"/>
      <c r="G143" s="30"/>
      <c r="H143" s="22"/>
      <c r="I143" s="24"/>
      <c r="J143" s="22"/>
      <c r="K143" s="22"/>
      <c r="L143" s="22"/>
      <c r="W143" s="33"/>
    </row>
    <row r="144" spans="1:23" x14ac:dyDescent="0.35">
      <c r="A144" s="21"/>
      <c r="B144" s="41"/>
      <c r="C144" s="22"/>
      <c r="D144" s="22"/>
      <c r="E144" s="22"/>
      <c r="F144" s="23"/>
      <c r="G144" s="30"/>
      <c r="H144" s="22"/>
      <c r="I144" s="24"/>
      <c r="J144" s="22"/>
      <c r="K144" s="22"/>
      <c r="L144" s="22"/>
      <c r="W144" s="33"/>
    </row>
    <row r="145" spans="1:23" x14ac:dyDescent="0.35">
      <c r="A145" s="21"/>
      <c r="B145" s="41"/>
      <c r="C145" s="22"/>
      <c r="D145" s="22"/>
      <c r="E145" s="22"/>
      <c r="F145" s="23"/>
      <c r="G145" s="30"/>
      <c r="H145" s="22"/>
      <c r="I145" s="24"/>
      <c r="J145" s="22"/>
      <c r="K145" s="22"/>
      <c r="L145" s="22"/>
      <c r="W145" s="33"/>
    </row>
    <row r="146" spans="1:23" x14ac:dyDescent="0.35">
      <c r="A146" s="21"/>
      <c r="B146" s="41"/>
      <c r="C146" s="22"/>
      <c r="D146" s="22"/>
      <c r="E146" s="22"/>
      <c r="F146" s="23"/>
      <c r="G146" s="30"/>
      <c r="H146" s="22"/>
      <c r="I146" s="24"/>
      <c r="J146" s="22"/>
      <c r="K146" s="22"/>
      <c r="L146" s="22"/>
      <c r="W146" s="33"/>
    </row>
    <row r="147" spans="1:23" x14ac:dyDescent="0.35">
      <c r="A147" s="21"/>
      <c r="B147" s="41"/>
      <c r="C147" s="22"/>
      <c r="D147" s="22"/>
      <c r="E147" s="22"/>
      <c r="F147" s="23"/>
      <c r="G147" s="30"/>
      <c r="H147" s="22"/>
      <c r="I147" s="24"/>
      <c r="J147" s="22"/>
      <c r="K147" s="22"/>
      <c r="L147" s="22"/>
    </row>
  </sheetData>
  <sheetProtection selectLockedCells="1" selectUnlockedCells="1"/>
  <dataConsolidate/>
  <mergeCells count="1">
    <mergeCell ref="A6:A7"/>
  </mergeCells>
  <dataValidations count="2">
    <dataValidation type="list" allowBlank="1" showInputMessage="1" showErrorMessage="1" sqref="A114:A147 F8:F147">
      <formula1>$R$5:$R$6</formula1>
    </dataValidation>
    <dataValidation type="list" allowBlank="1" showInputMessage="1" showErrorMessage="1" sqref="A8:A113">
      <formula1>$S$4:$S$5</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9231" r:id="rId4" name="CheckBox2">
          <controlPr autoLine="0" r:id="rId5">
            <anchor moveWithCells="1" sizeWithCells="1">
              <from>
                <xdr:col>0</xdr:col>
                <xdr:colOff>171450</xdr:colOff>
                <xdr:row>8</xdr:row>
                <xdr:rowOff>0</xdr:rowOff>
              </from>
              <to>
                <xdr:col>0</xdr:col>
                <xdr:colOff>1536700</xdr:colOff>
                <xdr:row>8</xdr:row>
                <xdr:rowOff>0</xdr:rowOff>
              </to>
            </anchor>
          </controlPr>
        </control>
      </mc:Choice>
      <mc:Fallback>
        <control shapeId="9231" r:id="rId4" name="CheckBox2"/>
      </mc:Fallback>
    </mc:AlternateContent>
    <mc:AlternateContent xmlns:mc="http://schemas.openxmlformats.org/markup-compatibility/2006">
      <mc:Choice Requires="x14">
        <control shapeId="9232" r:id="rId6" name="CheckBox3">
          <controlPr autoLine="0" autoPict="0" r:id="rId7">
            <anchor moveWithCells="1" sizeWithCells="1">
              <from>
                <xdr:col>0</xdr:col>
                <xdr:colOff>304800</xdr:colOff>
                <xdr:row>8</xdr:row>
                <xdr:rowOff>0</xdr:rowOff>
              </from>
              <to>
                <xdr:col>0</xdr:col>
                <xdr:colOff>1670050</xdr:colOff>
                <xdr:row>8</xdr:row>
                <xdr:rowOff>0</xdr:rowOff>
              </to>
            </anchor>
          </controlPr>
        </control>
      </mc:Choice>
      <mc:Fallback>
        <control shapeId="9232" r:id="rId6" name="CheckBox3"/>
      </mc:Fallback>
    </mc:AlternateContent>
    <mc:AlternateContent xmlns:mc="http://schemas.openxmlformats.org/markup-compatibility/2006">
      <mc:Choice Requires="x14">
        <control shapeId="9233" r:id="rId8" name="CheckBox4">
          <controlPr autoLine="0" r:id="rId9">
            <anchor moveWithCells="1" sizeWithCells="1">
              <from>
                <xdr:col>0</xdr:col>
                <xdr:colOff>304800</xdr:colOff>
                <xdr:row>8</xdr:row>
                <xdr:rowOff>0</xdr:rowOff>
              </from>
              <to>
                <xdr:col>0</xdr:col>
                <xdr:colOff>1670050</xdr:colOff>
                <xdr:row>8</xdr:row>
                <xdr:rowOff>0</xdr:rowOff>
              </to>
            </anchor>
          </controlPr>
        </control>
      </mc:Choice>
      <mc:Fallback>
        <control shapeId="9233" r:id="rId8" name="CheckBox4"/>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theme="0" tint="-0.34998626667073579"/>
  </sheetPr>
  <dimension ref="A1:G40"/>
  <sheetViews>
    <sheetView view="pageLayout" topLeftCell="A4" workbookViewId="0">
      <selection activeCell="A37" sqref="A37:G38"/>
    </sheetView>
  </sheetViews>
  <sheetFormatPr baseColWidth="10" defaultRowHeight="14.5" x14ac:dyDescent="0.35"/>
  <cols>
    <col min="1" max="1" width="8.7265625" style="4" customWidth="1"/>
    <col min="7" max="7" width="15.26953125" customWidth="1"/>
  </cols>
  <sheetData>
    <row r="1" spans="1:7" x14ac:dyDescent="0.35">
      <c r="A1"/>
      <c r="F1" s="65" t="s">
        <v>14</v>
      </c>
      <c r="G1" s="66"/>
    </row>
    <row r="2" spans="1:7" x14ac:dyDescent="0.35">
      <c r="A2"/>
      <c r="B2" s="1" t="s">
        <v>23</v>
      </c>
    </row>
    <row r="3" spans="1:7" ht="6.75" customHeight="1" x14ac:dyDescent="0.35"/>
    <row r="4" spans="1:7" x14ac:dyDescent="0.35">
      <c r="A4"/>
      <c r="D4" s="3" t="s">
        <v>5</v>
      </c>
    </row>
    <row r="5" spans="1:7" ht="7.5" customHeight="1" x14ac:dyDescent="0.35"/>
    <row r="6" spans="1:7" x14ac:dyDescent="0.35">
      <c r="A6" s="67" t="s">
        <v>30</v>
      </c>
      <c r="B6" s="67"/>
      <c r="C6" s="67"/>
      <c r="D6" s="67"/>
      <c r="E6" s="67"/>
      <c r="F6" s="67"/>
      <c r="G6" s="67"/>
    </row>
    <row r="7" spans="1:7" x14ac:dyDescent="0.35">
      <c r="A7" s="67"/>
      <c r="B7" s="67"/>
      <c r="C7" s="67"/>
      <c r="D7" s="67"/>
      <c r="E7" s="67"/>
      <c r="F7" s="67"/>
      <c r="G7" s="67"/>
    </row>
    <row r="8" spans="1:7" ht="6.75" customHeight="1" x14ac:dyDescent="0.35"/>
    <row r="9" spans="1:7" x14ac:dyDescent="0.35">
      <c r="A9" s="49" t="s">
        <v>28</v>
      </c>
      <c r="B9" s="49"/>
      <c r="C9" s="49"/>
      <c r="D9" s="49"/>
      <c r="E9" s="49"/>
      <c r="F9" s="49"/>
      <c r="G9" s="49"/>
    </row>
    <row r="10" spans="1:7" ht="29.25" customHeight="1" x14ac:dyDescent="0.35">
      <c r="A10" s="49"/>
      <c r="B10" s="49"/>
      <c r="C10" s="49"/>
      <c r="D10" s="49"/>
      <c r="E10" s="49"/>
      <c r="F10" s="49"/>
      <c r="G10" s="49"/>
    </row>
    <row r="11" spans="1:7" ht="6" customHeight="1" x14ac:dyDescent="0.35"/>
    <row r="12" spans="1:7" x14ac:dyDescent="0.35">
      <c r="A12" s="49" t="s">
        <v>6</v>
      </c>
      <c r="B12" s="49"/>
      <c r="C12" s="49"/>
      <c r="D12" s="49"/>
      <c r="E12" s="49"/>
      <c r="F12" s="49"/>
      <c r="G12" s="49"/>
    </row>
    <row r="13" spans="1:7" ht="7.5" customHeight="1" x14ac:dyDescent="0.35"/>
    <row r="14" spans="1:7" x14ac:dyDescent="0.35">
      <c r="A14" s="49" t="s">
        <v>7</v>
      </c>
      <c r="B14" s="49"/>
      <c r="C14" s="49"/>
      <c r="D14" s="49"/>
      <c r="E14" s="49"/>
      <c r="F14" s="49"/>
      <c r="G14" s="49"/>
    </row>
    <row r="15" spans="1:7" ht="30.75" customHeight="1" x14ac:dyDescent="0.35">
      <c r="A15" s="49"/>
      <c r="B15" s="49"/>
      <c r="C15" s="49"/>
      <c r="D15" s="49"/>
      <c r="E15" s="49"/>
      <c r="F15" s="49"/>
      <c r="G15" s="49"/>
    </row>
    <row r="16" spans="1:7" ht="9" customHeight="1" x14ac:dyDescent="0.35"/>
    <row r="17" spans="1:7" x14ac:dyDescent="0.35">
      <c r="A17" s="58" t="s">
        <v>8</v>
      </c>
      <c r="B17" s="58"/>
      <c r="C17" s="58"/>
      <c r="D17" s="58"/>
      <c r="E17" s="58"/>
      <c r="F17" s="58"/>
      <c r="G17" s="58"/>
    </row>
    <row r="18" spans="1:7" x14ac:dyDescent="0.35">
      <c r="A18" s="59" t="s">
        <v>9</v>
      </c>
      <c r="B18" s="60"/>
      <c r="C18" s="60"/>
      <c r="D18" s="60"/>
      <c r="E18" s="60"/>
      <c r="F18" s="60"/>
      <c r="G18" s="60"/>
    </row>
    <row r="19" spans="1:7" x14ac:dyDescent="0.35">
      <c r="A19" s="60"/>
      <c r="B19" s="60"/>
      <c r="C19" s="60"/>
      <c r="D19" s="60"/>
      <c r="E19" s="60"/>
      <c r="F19" s="60"/>
      <c r="G19" s="60"/>
    </row>
    <row r="20" spans="1:7" ht="7.5" customHeight="1" x14ac:dyDescent="0.35">
      <c r="A20" s="13"/>
      <c r="B20" s="13"/>
      <c r="C20" s="13"/>
      <c r="D20" s="13"/>
      <c r="E20" s="13"/>
      <c r="F20" s="13"/>
      <c r="G20" s="13"/>
    </row>
    <row r="21" spans="1:7" x14ac:dyDescent="0.35">
      <c r="A21" s="61" t="s">
        <v>24</v>
      </c>
      <c r="B21" s="61"/>
      <c r="C21" s="61"/>
      <c r="D21" s="61"/>
      <c r="E21" s="61"/>
      <c r="F21" s="61"/>
      <c r="G21" s="61"/>
    </row>
    <row r="22" spans="1:7" ht="6.75" customHeight="1" x14ac:dyDescent="0.35"/>
    <row r="23" spans="1:7" x14ac:dyDescent="0.35">
      <c r="A23" s="49" t="s">
        <v>35</v>
      </c>
      <c r="B23" s="49"/>
      <c r="C23" s="49"/>
      <c r="D23" s="49"/>
      <c r="E23" s="49"/>
      <c r="F23" s="49"/>
      <c r="G23" s="49"/>
    </row>
    <row r="24" spans="1:7" ht="29.25" customHeight="1" x14ac:dyDescent="0.35">
      <c r="A24" s="49"/>
      <c r="B24" s="49"/>
      <c r="C24" s="49"/>
      <c r="D24" s="49"/>
      <c r="E24" s="49"/>
      <c r="F24" s="49"/>
      <c r="G24" s="49"/>
    </row>
    <row r="25" spans="1:7" ht="8.25" customHeight="1" x14ac:dyDescent="0.35"/>
    <row r="26" spans="1:7" x14ac:dyDescent="0.35">
      <c r="A26" s="56" t="s">
        <v>10</v>
      </c>
      <c r="B26" s="55"/>
      <c r="C26" s="55"/>
      <c r="D26" s="55"/>
      <c r="E26" s="55"/>
      <c r="F26" s="55"/>
      <c r="G26" s="55"/>
    </row>
    <row r="27" spans="1:7" x14ac:dyDescent="0.35">
      <c r="A27" s="49" t="s">
        <v>11</v>
      </c>
      <c r="B27" s="49"/>
      <c r="C27" s="49"/>
      <c r="D27" s="49"/>
      <c r="E27" s="49"/>
      <c r="F27" s="49"/>
      <c r="G27" s="49"/>
    </row>
    <row r="28" spans="1:7" ht="9" customHeight="1" x14ac:dyDescent="0.35">
      <c r="A28" s="11"/>
      <c r="B28" s="11"/>
      <c r="C28" s="11"/>
      <c r="D28" s="11"/>
      <c r="E28" s="11"/>
      <c r="F28" s="11"/>
      <c r="G28" s="11"/>
    </row>
    <row r="29" spans="1:7" ht="9" customHeight="1" x14ac:dyDescent="0.35"/>
    <row r="30" spans="1:7" x14ac:dyDescent="0.35">
      <c r="A30" s="49" t="s">
        <v>12</v>
      </c>
      <c r="B30" s="49"/>
      <c r="C30" s="49"/>
      <c r="D30" s="49"/>
      <c r="E30" s="49"/>
      <c r="F30" s="49"/>
      <c r="G30" s="49"/>
    </row>
    <row r="31" spans="1:7" ht="9" customHeight="1" x14ac:dyDescent="0.35">
      <c r="A31" s="11"/>
      <c r="B31" s="11"/>
      <c r="C31" s="11"/>
      <c r="D31" s="11"/>
      <c r="E31" s="11"/>
      <c r="F31" s="11"/>
      <c r="G31" s="11"/>
    </row>
    <row r="32" spans="1:7" ht="7.5" customHeight="1" x14ac:dyDescent="0.35"/>
    <row r="33" spans="1:7" x14ac:dyDescent="0.35">
      <c r="A33" s="56" t="s">
        <v>29</v>
      </c>
      <c r="B33" s="56"/>
      <c r="C33" s="56"/>
      <c r="D33" s="56"/>
      <c r="E33" s="56"/>
      <c r="F33" s="56"/>
      <c r="G33" s="56"/>
    </row>
    <row r="34" spans="1:7" x14ac:dyDescent="0.35">
      <c r="A34" s="57" t="s">
        <v>175</v>
      </c>
      <c r="B34" s="49"/>
      <c r="C34" s="49"/>
      <c r="D34" s="49"/>
      <c r="E34" s="49"/>
      <c r="F34" s="49"/>
      <c r="G34" s="49"/>
    </row>
    <row r="35" spans="1:7" ht="7.5" customHeight="1" x14ac:dyDescent="0.35">
      <c r="A35" s="12"/>
      <c r="B35" s="11"/>
      <c r="C35" s="11"/>
      <c r="D35" s="11"/>
      <c r="E35" s="11"/>
      <c r="F35" s="11"/>
      <c r="G35" s="11"/>
    </row>
    <row r="36" spans="1:7" ht="10.5" customHeight="1" x14ac:dyDescent="0.35"/>
    <row r="37" spans="1:7" ht="15" customHeight="1" x14ac:dyDescent="0.35">
      <c r="A37" s="53" t="s">
        <v>36</v>
      </c>
      <c r="B37" s="53"/>
      <c r="C37" s="53"/>
      <c r="D37" s="53"/>
      <c r="E37" s="53"/>
      <c r="F37" s="53"/>
      <c r="G37" s="53"/>
    </row>
    <row r="38" spans="1:7" x14ac:dyDescent="0.35">
      <c r="A38" s="53"/>
      <c r="B38" s="53"/>
      <c r="C38" s="53"/>
      <c r="D38" s="53"/>
      <c r="E38" s="53"/>
      <c r="F38" s="53"/>
      <c r="G38" s="53"/>
    </row>
    <row r="39" spans="1:7" x14ac:dyDescent="0.35">
      <c r="B39" s="14"/>
      <c r="C39" s="14"/>
      <c r="D39" s="14"/>
      <c r="E39" s="14"/>
      <c r="F39" s="14"/>
    </row>
    <row r="40" spans="1:7" x14ac:dyDescent="0.35">
      <c r="B40" s="14"/>
      <c r="C40" s="14"/>
      <c r="D40" s="14"/>
      <c r="E40" s="14"/>
      <c r="F40" s="14"/>
    </row>
  </sheetData>
  <mergeCells count="15">
    <mergeCell ref="A37:G38"/>
    <mergeCell ref="A33:G33"/>
    <mergeCell ref="A34:G34"/>
    <mergeCell ref="A30:G30"/>
    <mergeCell ref="F1:G1"/>
    <mergeCell ref="A6:G7"/>
    <mergeCell ref="A9:G10"/>
    <mergeCell ref="A12:G12"/>
    <mergeCell ref="A14:G15"/>
    <mergeCell ref="A17:G17"/>
    <mergeCell ref="A18:G19"/>
    <mergeCell ref="A21:G21"/>
    <mergeCell ref="A23:G24"/>
    <mergeCell ref="A26:G26"/>
    <mergeCell ref="A27:G27"/>
  </mergeCells>
  <printOptions horizontalCentered="1"/>
  <pageMargins left="0.70866141732283472" right="0.70866141732283472" top="0.6692913385826772" bottom="1.5354330708661419" header="0" footer="0.31496062992125984"/>
  <pageSetup paperSize="9" orientation="portrait" r:id="rId1"/>
  <headerFooter>
    <oddHeader>&amp;L&amp;G</oddHeader>
    <oddFooter>&amp;C&amp;G</oddFooter>
  </headerFooter>
  <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tabColor theme="0" tint="-0.34998626667073579"/>
  </sheetPr>
  <dimension ref="A1:G45"/>
  <sheetViews>
    <sheetView view="pageLayout" topLeftCell="A13" workbookViewId="0">
      <selection activeCell="F28" sqref="F28"/>
    </sheetView>
  </sheetViews>
  <sheetFormatPr baseColWidth="10" defaultRowHeight="14.5" x14ac:dyDescent="0.35"/>
  <cols>
    <col min="1" max="1" width="8.7265625" style="5" customWidth="1"/>
    <col min="7" max="7" width="16.7265625" customWidth="1"/>
  </cols>
  <sheetData>
    <row r="1" spans="1:7" x14ac:dyDescent="0.35">
      <c r="A1"/>
      <c r="F1" s="65" t="s">
        <v>14</v>
      </c>
      <c r="G1" s="66"/>
    </row>
    <row r="2" spans="1:7" x14ac:dyDescent="0.35">
      <c r="A2"/>
      <c r="B2" s="1" t="s">
        <v>23</v>
      </c>
    </row>
    <row r="3" spans="1:7" ht="8.25" customHeight="1" x14ac:dyDescent="0.35"/>
    <row r="4" spans="1:7" x14ac:dyDescent="0.35">
      <c r="A4"/>
      <c r="C4" s="65" t="s">
        <v>5</v>
      </c>
      <c r="D4" s="55"/>
      <c r="E4" s="55"/>
    </row>
    <row r="5" spans="1:7" ht="9" customHeight="1" x14ac:dyDescent="0.35"/>
    <row r="6" spans="1:7" x14ac:dyDescent="0.35">
      <c r="A6" s="67" t="s">
        <v>30</v>
      </c>
      <c r="B6" s="67"/>
      <c r="C6" s="67"/>
      <c r="D6" s="67"/>
      <c r="E6" s="67"/>
      <c r="F6" s="67"/>
      <c r="G6" s="67"/>
    </row>
    <row r="7" spans="1:7" x14ac:dyDescent="0.35">
      <c r="A7" s="67"/>
      <c r="B7" s="67"/>
      <c r="C7" s="67"/>
      <c r="D7" s="67"/>
      <c r="E7" s="67"/>
      <c r="F7" s="67"/>
      <c r="G7" s="67"/>
    </row>
    <row r="9" spans="1:7" x14ac:dyDescent="0.35">
      <c r="A9" s="49" t="s">
        <v>28</v>
      </c>
      <c r="B9" s="49"/>
      <c r="C9" s="49"/>
      <c r="D9" s="49"/>
      <c r="E9" s="49"/>
      <c r="F9" s="49"/>
      <c r="G9" s="49"/>
    </row>
    <row r="10" spans="1:7" ht="27.75" customHeight="1" x14ac:dyDescent="0.35">
      <c r="A10" s="49"/>
      <c r="B10" s="49"/>
      <c r="C10" s="49"/>
      <c r="D10" s="49"/>
      <c r="E10" s="49"/>
      <c r="F10" s="49"/>
      <c r="G10" s="49"/>
    </row>
    <row r="11" spans="1:7" ht="9" customHeight="1" x14ac:dyDescent="0.35"/>
    <row r="12" spans="1:7" x14ac:dyDescent="0.35">
      <c r="A12" s="49" t="s">
        <v>6</v>
      </c>
      <c r="B12" s="49"/>
      <c r="C12" s="49"/>
      <c r="D12" s="49"/>
      <c r="E12" s="49"/>
      <c r="F12" s="49"/>
      <c r="G12" s="49"/>
    </row>
    <row r="13" spans="1:7" ht="8.25" customHeight="1" x14ac:dyDescent="0.35"/>
    <row r="14" spans="1:7" x14ac:dyDescent="0.35">
      <c r="A14" s="49" t="s">
        <v>7</v>
      </c>
      <c r="B14" s="49"/>
      <c r="C14" s="49"/>
      <c r="D14" s="49"/>
      <c r="E14" s="49"/>
      <c r="F14" s="49"/>
      <c r="G14" s="49"/>
    </row>
    <row r="15" spans="1:7" ht="30.75" customHeight="1" x14ac:dyDescent="0.35">
      <c r="A15" s="49"/>
      <c r="B15" s="49"/>
      <c r="C15" s="49"/>
      <c r="D15" s="49"/>
      <c r="E15" s="49"/>
      <c r="F15" s="49"/>
      <c r="G15" s="49"/>
    </row>
    <row r="16" spans="1:7" ht="6" customHeight="1" x14ac:dyDescent="0.35"/>
    <row r="17" spans="1:7" x14ac:dyDescent="0.35">
      <c r="A17" s="58" t="s">
        <v>8</v>
      </c>
      <c r="B17" s="58"/>
      <c r="C17" s="58"/>
      <c r="D17" s="58"/>
      <c r="E17" s="58"/>
      <c r="F17" s="58"/>
      <c r="G17" s="58"/>
    </row>
    <row r="18" spans="1:7" x14ac:dyDescent="0.35">
      <c r="A18" s="59" t="s">
        <v>9</v>
      </c>
      <c r="B18" s="60"/>
      <c r="C18" s="60"/>
      <c r="D18" s="60"/>
      <c r="E18" s="60"/>
      <c r="F18" s="60"/>
      <c r="G18" s="60"/>
    </row>
    <row r="19" spans="1:7" x14ac:dyDescent="0.35">
      <c r="A19" s="60"/>
      <c r="B19" s="60"/>
      <c r="C19" s="60"/>
      <c r="D19" s="60"/>
      <c r="E19" s="60"/>
      <c r="F19" s="60"/>
      <c r="G19" s="60"/>
    </row>
    <row r="20" spans="1:7" ht="8.25" customHeight="1" x14ac:dyDescent="0.35">
      <c r="A20" s="13"/>
      <c r="B20" s="13"/>
      <c r="C20" s="13"/>
      <c r="D20" s="13"/>
      <c r="E20" s="13"/>
      <c r="F20" s="13"/>
      <c r="G20" s="13"/>
    </row>
    <row r="21" spans="1:7" x14ac:dyDescent="0.35">
      <c r="A21" s="61" t="s">
        <v>24</v>
      </c>
      <c r="B21" s="61"/>
      <c r="C21" s="61"/>
      <c r="D21" s="61"/>
      <c r="E21" s="61"/>
      <c r="F21" s="61"/>
      <c r="G21" s="61"/>
    </row>
    <row r="22" spans="1:7" ht="9" customHeight="1" x14ac:dyDescent="0.35"/>
    <row r="23" spans="1:7" x14ac:dyDescent="0.35">
      <c r="A23" s="62" t="s">
        <v>34</v>
      </c>
      <c r="B23" s="63"/>
      <c r="C23" s="63"/>
      <c r="D23" s="63"/>
      <c r="E23" s="63"/>
      <c r="F23" s="63"/>
      <c r="G23" s="63"/>
    </row>
    <row r="24" spans="1:7" x14ac:dyDescent="0.35">
      <c r="A24" s="63"/>
      <c r="B24" s="63"/>
      <c r="C24" s="63"/>
      <c r="D24" s="63"/>
      <c r="E24" s="63"/>
      <c r="F24" s="63"/>
      <c r="G24" s="63"/>
    </row>
    <row r="25" spans="1:7" ht="8.25" customHeight="1" x14ac:dyDescent="0.35"/>
    <row r="26" spans="1:7" x14ac:dyDescent="0.35">
      <c r="A26" s="49" t="s">
        <v>35</v>
      </c>
      <c r="B26" s="49"/>
      <c r="C26" s="49"/>
      <c r="D26" s="49"/>
      <c r="E26" s="49"/>
      <c r="F26" s="49"/>
      <c r="G26" s="49"/>
    </row>
    <row r="27" spans="1:7" ht="30.75" customHeight="1" x14ac:dyDescent="0.35">
      <c r="A27" s="49"/>
      <c r="B27" s="49"/>
      <c r="C27" s="49"/>
      <c r="D27" s="49"/>
      <c r="E27" s="49"/>
      <c r="F27" s="49"/>
      <c r="G27" s="49"/>
    </row>
    <row r="28" spans="1:7" ht="8.25" customHeight="1" x14ac:dyDescent="0.35">
      <c r="A28" s="11"/>
      <c r="B28" s="11"/>
      <c r="C28" s="11"/>
      <c r="D28" s="11"/>
      <c r="E28" s="11"/>
      <c r="F28" s="11"/>
      <c r="G28" s="11"/>
    </row>
    <row r="29" spans="1:7" x14ac:dyDescent="0.35">
      <c r="A29" s="64" t="s">
        <v>32</v>
      </c>
      <c r="B29" s="55"/>
      <c r="C29" s="55"/>
      <c r="D29" s="55"/>
      <c r="E29" s="55"/>
      <c r="F29" s="55"/>
      <c r="G29" s="55"/>
    </row>
    <row r="30" spans="1:7" ht="16.5" customHeight="1" x14ac:dyDescent="0.35">
      <c r="A30" s="54" t="s">
        <v>33</v>
      </c>
      <c r="B30" s="55"/>
      <c r="C30" s="55"/>
      <c r="D30" s="55"/>
      <c r="E30" s="55"/>
      <c r="F30" s="55"/>
      <c r="G30" s="55"/>
    </row>
    <row r="31" spans="1:7" ht="7.5" customHeight="1" x14ac:dyDescent="0.35">
      <c r="A31" s="9"/>
      <c r="B31" s="8"/>
      <c r="C31" s="8"/>
      <c r="D31" s="8"/>
      <c r="E31" s="8"/>
      <c r="F31" s="8"/>
      <c r="G31" s="8"/>
    </row>
    <row r="32" spans="1:7" x14ac:dyDescent="0.35">
      <c r="A32" s="56" t="s">
        <v>10</v>
      </c>
      <c r="B32" s="55"/>
      <c r="C32" s="55"/>
      <c r="D32" s="55"/>
      <c r="E32" s="55"/>
      <c r="F32" s="55"/>
      <c r="G32" s="55"/>
    </row>
    <row r="33" spans="1:7" x14ac:dyDescent="0.35">
      <c r="A33" s="49" t="s">
        <v>11</v>
      </c>
      <c r="B33" s="49"/>
      <c r="C33" s="49"/>
      <c r="D33" s="49"/>
      <c r="E33" s="49"/>
      <c r="F33" s="49"/>
      <c r="G33" s="49"/>
    </row>
    <row r="34" spans="1:7" ht="6" customHeight="1" x14ac:dyDescent="0.35"/>
    <row r="35" spans="1:7" x14ac:dyDescent="0.35">
      <c r="A35" s="49" t="s">
        <v>12</v>
      </c>
      <c r="B35" s="49"/>
      <c r="C35" s="49"/>
      <c r="D35" s="49"/>
      <c r="E35" s="49"/>
      <c r="F35" s="49"/>
      <c r="G35" s="49"/>
    </row>
    <row r="36" spans="1:7" ht="8.25" customHeight="1" x14ac:dyDescent="0.35"/>
    <row r="37" spans="1:7" x14ac:dyDescent="0.35">
      <c r="A37" s="56" t="s">
        <v>29</v>
      </c>
      <c r="B37" s="56"/>
      <c r="C37" s="56"/>
      <c r="D37" s="56"/>
      <c r="E37" s="56"/>
      <c r="F37" s="56"/>
      <c r="G37" s="56"/>
    </row>
    <row r="38" spans="1:7" x14ac:dyDescent="0.35">
      <c r="A38" s="57" t="s">
        <v>175</v>
      </c>
      <c r="B38" s="49"/>
      <c r="C38" s="49"/>
      <c r="D38" s="49"/>
      <c r="E38" s="49"/>
      <c r="F38" s="49"/>
      <c r="G38" s="49"/>
    </row>
    <row r="39" spans="1:7" ht="6" customHeight="1" x14ac:dyDescent="0.35">
      <c r="A39" s="6"/>
      <c r="B39" s="7"/>
      <c r="C39" s="7"/>
      <c r="D39" s="7"/>
      <c r="E39" s="7"/>
      <c r="F39" s="7"/>
      <c r="G39" s="7"/>
    </row>
    <row r="40" spans="1:7" x14ac:dyDescent="0.35">
      <c r="A40" s="53" t="s">
        <v>36</v>
      </c>
      <c r="B40" s="53"/>
      <c r="C40" s="53"/>
      <c r="D40" s="53"/>
      <c r="E40" s="53"/>
      <c r="F40" s="53"/>
      <c r="G40" s="53"/>
    </row>
    <row r="41" spans="1:7" x14ac:dyDescent="0.35">
      <c r="A41" s="53"/>
      <c r="B41" s="53"/>
      <c r="C41" s="53"/>
      <c r="D41" s="53"/>
      <c r="E41" s="53"/>
      <c r="F41" s="53"/>
      <c r="G41" s="53"/>
    </row>
    <row r="43" spans="1:7" ht="12.75" customHeight="1" x14ac:dyDescent="0.35"/>
    <row r="44" spans="1:7" hidden="1" x14ac:dyDescent="0.35"/>
    <row r="45" spans="1:7" hidden="1" x14ac:dyDescent="0.35"/>
  </sheetData>
  <mergeCells count="19">
    <mergeCell ref="A37:G37"/>
    <mergeCell ref="A38:G38"/>
    <mergeCell ref="A40:G41"/>
    <mergeCell ref="A35:G35"/>
    <mergeCell ref="A29:G29"/>
    <mergeCell ref="A32:G32"/>
    <mergeCell ref="A33:G33"/>
    <mergeCell ref="A23:G24"/>
    <mergeCell ref="A30:G30"/>
    <mergeCell ref="F1:G1"/>
    <mergeCell ref="A6:G7"/>
    <mergeCell ref="A9:G10"/>
    <mergeCell ref="A12:G12"/>
    <mergeCell ref="A14:G15"/>
    <mergeCell ref="A17:G17"/>
    <mergeCell ref="A18:G19"/>
    <mergeCell ref="A21:G21"/>
    <mergeCell ref="A26:G27"/>
    <mergeCell ref="C4:E4"/>
  </mergeCells>
  <printOptions horizontalCentered="1"/>
  <pageMargins left="0.70866141732283472" right="0.70866141732283472" top="0.74803149606299213" bottom="1.4566929133858268" header="0" footer="0.31496062992125984"/>
  <pageSetup paperSize="9" orientation="portrait" r:id="rId1"/>
  <headerFooter>
    <oddHeader>&amp;L&amp;G</oddHeader>
    <oddFooter>&amp;C&amp;G</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5</vt:i4>
      </vt:variant>
    </vt:vector>
  </HeadingPairs>
  <TitlesOfParts>
    <vt:vector size="5" baseType="lpstr">
      <vt:lpstr>Version</vt:lpstr>
      <vt:lpstr>Input</vt:lpstr>
      <vt:lpstr>Entrée</vt:lpstr>
      <vt:lpstr>Mise_en_page</vt:lpstr>
      <vt:lpstr>Mise_en_page_(km)</vt:lpstr>
    </vt:vector>
  </TitlesOfParts>
  <Company>Ecmblagnac.ecm-be.local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Julien BONZOM</dc:creator>
  <cp:lastModifiedBy>Julien BONZOM</cp:lastModifiedBy>
  <cp:lastPrinted>2023-04-12T09:43:15Z</cp:lastPrinted>
  <dcterms:created xsi:type="dcterms:W3CDTF">2022-01-06T09:53:28Z</dcterms:created>
  <dcterms:modified xsi:type="dcterms:W3CDTF">2023-04-12T09:43:46Z</dcterms:modified>
</cp:coreProperties>
</file>